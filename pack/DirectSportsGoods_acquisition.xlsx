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ernbrook DD" sheetId="3" state="visible" r:id="rId3"/>
    <sheet xmlns:r="http://schemas.openxmlformats.org/officeDocument/2006/relationships" name="Halvergate DD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Bridge" sheetId="6" state="visible" r:id="rId6"/>
    <sheet xmlns:r="http://schemas.openxmlformats.org/officeDocument/2006/relationships" name="Synergies" sheetId="7" state="visible" r:id="rId7"/>
    <sheet xmlns:r="http://schemas.openxmlformats.org/officeDocument/2006/relationships" name="Fund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,;(#,##0,);&quot;-&quot;"/>
    <numFmt numFmtId="165" formatCode="0.0x"/>
    <numFmt numFmtId="166" formatCode="0.0%"/>
    <numFmt numFmtId="167" formatCode="0.0%;-0.0%;&quot;-&quot;"/>
    <numFmt numFmtId="168" formatCode="0.000"/>
    <numFmt numFmtId="169" formatCode="yyyy-mm-dd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7F7F7F"/>
      <sz val="9"/>
    </font>
    <font>
      <b val="1"/>
      <color rgb="00FFFFFF"/>
    </font>
    <font>
      <b val="1"/>
    </font>
    <font>
      <b val="1"/>
      <color rgb="001F3864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6" fontId="6" fillId="0" borderId="0" pivotButton="0" quotePrefix="0" xfId="0"/>
    <xf numFmtId="167" fontId="6" fillId="0" borderId="0" pivotButton="0" quotePrefix="0" xfId="0"/>
    <xf numFmtId="168" fontId="0" fillId="0" borderId="0" pivotButton="0" quotePrefix="0" xfId="0"/>
    <xf numFmtId="164" fontId="4" fillId="0" borderId="0" pivotButton="0" quotePrefix="0" xfId="0"/>
    <xf numFmtId="17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DirectSportsGoods: acquisition case</t>
        </is>
      </c>
    </row>
    <row r="2">
      <c r="A2" s="2" t="inlineStr">
        <is>
          <t>DirectSportsGoods is a fictional company. All figures are made up.</t>
        </is>
      </c>
    </row>
    <row r="4">
      <c r="A4" t="inlineStr">
        <is>
          <t>Two founder-owned racket and hockey retailers, screened and taken through due diligence. Both are fictional.</t>
        </is>
      </c>
    </row>
    <row r="5">
      <c r="A5" t="inlineStr"/>
    </row>
    <row r="6">
      <c r="A6" t="inlineStr">
        <is>
          <t>Summary: the two targets side by side</t>
        </is>
      </c>
    </row>
    <row r="7">
      <c r="A7" t="inlineStr">
        <is>
          <t>Fernbrook DD and Halvergate DD: what due diligence found in each data room, and what it costs</t>
        </is>
      </c>
    </row>
    <row r="8">
      <c r="A8" t="inlineStr">
        <is>
          <t>Valuation: discounted cash flow for each case, live formulas</t>
        </is>
      </c>
    </row>
    <row r="9">
      <c r="A9" t="inlineStr">
        <is>
          <t>Bridge: from Fernbrook's asking price to our offer</t>
        </is>
      </c>
    </row>
    <row r="10">
      <c r="A10" t="inlineStr">
        <is>
          <t>Synergies: what Fernbrook is worth to us on top of its own cash flows</t>
        </is>
      </c>
    </row>
    <row r="11">
      <c r="A11" t="inlineStr">
        <is>
          <t>Funding: group cash month by month after the deal, for each P3 scenario</t>
        </is>
      </c>
    </row>
    <row r="12">
      <c r="A12" t="inlineStr"/>
    </row>
    <row r="13">
      <c r="A13" t="inlineStr">
        <is>
          <t>Figures are in £k unless stated. Data room files are in data/dataroom/.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</cols>
  <sheetData>
    <row r="1">
      <c r="A1" s="1" t="inlineStr">
        <is>
          <t>Targets side by side (£k)</t>
        </is>
      </c>
    </row>
    <row r="2">
      <c r="A2" s="2" t="inlineStr">
        <is>
          <t>DirectSportsGoods is a fictional company. All figures are made up.</t>
        </is>
      </c>
    </row>
    <row r="5">
      <c r="A5" s="3" t="inlineStr"/>
      <c r="B5" s="4" t="inlineStr">
        <is>
          <t>Fernbrook Racquets</t>
        </is>
      </c>
      <c r="C5" s="4" t="inlineStr">
        <is>
          <t>Halvergate Hockey</t>
        </is>
      </c>
    </row>
    <row r="6">
      <c r="A6" t="inlineStr">
        <is>
          <t>Niche</t>
        </is>
      </c>
      <c r="B6" s="5" t="inlineStr">
        <is>
          <t>Racket sports, heavy in padel</t>
        </is>
      </c>
      <c r="C6" s="5" t="inlineStr">
        <is>
          <t>Hockey</t>
        </is>
      </c>
    </row>
    <row r="7">
      <c r="A7" t="inlineStr">
        <is>
          <t>Revenue, last 12 months</t>
        </is>
      </c>
      <c r="B7" s="5" t="n">
        <v>10400000</v>
      </c>
      <c r="C7" s="5" t="n">
        <v>9200000</v>
      </c>
    </row>
    <row r="8">
      <c r="A8" t="inlineStr">
        <is>
          <t>Reported EBITDA</t>
        </is>
      </c>
      <c r="B8" s="5" t="n">
        <v>950000</v>
      </c>
      <c r="C8" s="5" t="n">
        <v>1000000</v>
      </c>
    </row>
    <row r="9">
      <c r="A9" t="inlineStr">
        <is>
          <t>Asking price</t>
        </is>
      </c>
      <c r="B9" s="5" t="n">
        <v>6500000</v>
      </c>
      <c r="C9" s="5" t="n">
        <v>5500000</v>
      </c>
    </row>
    <row r="10">
      <c r="A10" t="inlineStr">
        <is>
          <t>Asking price / reported EBITDA</t>
        </is>
      </c>
      <c r="B10" s="6" t="n">
        <v>6.842105263157895</v>
      </c>
      <c r="C10" s="6" t="n">
        <v>5.5</v>
      </c>
    </row>
    <row r="11">
      <c r="A11" t="inlineStr">
        <is>
          <t>EBITDA after due diligence</t>
        </is>
      </c>
      <c r="B11" s="5" t="n">
        <v>683640</v>
      </c>
      <c r="C11" s="5" t="n">
        <v>760000</v>
      </c>
    </row>
    <row r="12">
      <c r="A12" t="inlineStr">
        <is>
          <t>Asking price / EBITDA after due diligence</t>
        </is>
      </c>
      <c r="B12" s="6" t="n">
        <v>9.507928149318355</v>
      </c>
      <c r="C12" s="6" t="n">
        <v>7.236842105263158</v>
      </c>
    </row>
    <row r="13">
      <c r="A13" t="inlineStr">
        <is>
          <t>Walk-away price</t>
        </is>
      </c>
      <c r="B13" s="5" t="n">
        <v>3957146.971903565</v>
      </c>
      <c r="C13" s="5" t="n">
        <v>1598472.003135091</v>
      </c>
    </row>
    <row r="14">
      <c r="A14" t="inlineStr">
        <is>
          <t>Seller's lowest acceptable price</t>
        </is>
      </c>
      <c r="B14" s="5" t="inlineStr"/>
      <c r="C14" s="5" t="n">
        <v>4500000</v>
      </c>
    </row>
    <row r="15">
      <c r="A15" t="inlineStr">
        <is>
          <t>Decision</t>
        </is>
      </c>
      <c r="B15" s="5" t="inlineStr">
        <is>
          <t>Buy: £3.25m upfront plus up to £1.25m earn-out</t>
        </is>
      </c>
      <c r="C15" s="5" t="inlineStr">
        <is>
          <t>Walk away</t>
        </is>
      </c>
    </row>
    <row r="18">
      <c r="A18" s="2" t="inlineStr">
        <is>
          <t>Benchmark: Frasers paid 4.7x operating profit for Holdsport and 0.14x revenue for loss-making XXL in FY26 (Frasers AR 2026, p.179-180).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60" customWidth="1" min="3" max="3"/>
    <col width="18" customWidth="1" min="4" max="4"/>
    <col width="10" customWidth="1" min="5" max="5"/>
  </cols>
  <sheetData>
    <row r="1">
      <c r="A1" s="1" t="inlineStr">
        <is>
          <t>Fernbrook: due diligence findings (£k)</t>
        </is>
      </c>
    </row>
    <row r="2">
      <c r="A2" s="2" t="inlineStr">
        <is>
          <t>DirectSportsGoods is a fictional company. All figures are made up.</t>
        </is>
      </c>
    </row>
    <row r="3">
      <c r="A3" s="2" t="inlineStr">
        <is>
          <t>Every finding comes from a file in the data room.</t>
        </is>
      </c>
    </row>
    <row r="5">
      <c r="A5" s="3" t="inlineStr">
        <is>
          <t>Finding</t>
        </is>
      </c>
      <c r="B5" s="4" t="inlineStr">
        <is>
          <t>Source file</t>
        </is>
      </c>
      <c r="C5" s="4" t="inlineStr">
        <is>
          <t>What the file shows</t>
        </is>
      </c>
      <c r="D5" s="4" t="inlineStr">
        <is>
          <t>Affects</t>
        </is>
      </c>
      <c r="E5" s="4" t="inlineStr">
        <is>
          <t>£k</t>
        </is>
      </c>
    </row>
    <row r="6" ht="15" customHeight="1">
      <c r="A6" s="7" t="inlineStr">
        <is>
          <t>Founder underpaid</t>
        </is>
      </c>
      <c r="B6" s="7" t="inlineStr">
        <is>
          <t>payroll.csv</t>
        </is>
      </c>
      <c r="C6" s="7" t="inlineStr">
        <is>
          <t>Founder MD paid £30,000; a replacement costs about £120,000</t>
        </is>
      </c>
      <c r="D6" s="7" t="inlineStr">
        <is>
          <t>EBITDA</t>
        </is>
      </c>
      <c r="E6" s="8" t="n">
        <v>-100800</v>
      </c>
    </row>
    <row r="7" ht="30" customHeight="1">
      <c r="A7" s="7" t="inlineStr">
        <is>
          <t>One-off income in EBITDA</t>
        </is>
      </c>
      <c r="B7" s="7" t="inlineStr">
        <is>
          <t>other_income_ledger.csv</t>
        </is>
      </c>
      <c r="C7" s="7" t="inlineStr">
        <is>
          <t>A £60k consultancy fee appears once, with nothing like it the year before</t>
        </is>
      </c>
      <c r="D7" s="7" t="inlineStr">
        <is>
          <t>EBITDA</t>
        </is>
      </c>
      <c r="E7" s="8" t="n">
        <v>-60000</v>
      </c>
    </row>
    <row r="8" ht="30" customHeight="1">
      <c r="A8" s="7" t="inlineStr">
        <is>
          <t>Rebate ends on sale</t>
        </is>
      </c>
      <c r="B8" s="7" t="inlineStr">
        <is>
          <t>contracts.csv</t>
        </is>
      </c>
      <c r="C8" s="7" t="inlineStr">
        <is>
          <t>Brand A's 5% rebate is personal to the owner and stops when the business changes hands</t>
        </is>
      </c>
      <c r="D8" s="7" t="inlineStr">
        <is>
          <t>EBITDA</t>
        </is>
      </c>
      <c r="E8" s="8" t="n">
        <v>-105560</v>
      </c>
    </row>
    <row r="9" ht="30" customHeight="1">
      <c r="A9" s="7" t="inlineStr">
        <is>
          <t>Old stock at full value</t>
        </is>
      </c>
      <c r="B9" s="7" t="inlineStr">
        <is>
          <t>stock_ageing.csv</t>
        </is>
      </c>
      <c r="C9" s="7" t="inlineStr">
        <is>
          <t>£360k over 12 months old and £170k at 6-12 months, with no provision. Our policy writes them down 60% and 20%</t>
        </is>
      </c>
      <c r="D9" s="7" t="inlineStr">
        <is>
          <t>Completion accounts</t>
        </is>
      </c>
      <c r="E9" s="8" t="n">
        <v>-250000</v>
      </c>
    </row>
    <row r="10" ht="45" customHeight="1">
      <c r="A10" s="7" t="inlineStr">
        <is>
          <t>Customer numbers overstated</t>
        </is>
      </c>
      <c r="B10" s="7" t="inlineStr">
        <is>
          <t>customer_cohorts.csv</t>
        </is>
      </c>
      <c r="C10" s="7" t="inlineStr">
        <is>
          <t>85k is every account ever opened. 32k bought in the last year (up 5%), and repeat rates fell from 38% to 24% in the padel cohorts</t>
        </is>
      </c>
      <c r="D10" s="7" t="inlineStr">
        <is>
          <t>Growth</t>
        </is>
      </c>
      <c r="E10" s="8" t="inlineStr"/>
    </row>
    <row r="11" ht="30" customHeight="1">
      <c r="A11" s="7" t="inlineStr">
        <is>
          <t>One brand is 35% of sales</t>
        </is>
      </c>
      <c r="B11" s="7" t="inlineStr">
        <is>
          <t>contracts.csv</t>
        </is>
      </c>
      <c r="C11" s="7" t="inlineStr">
        <is>
          <t>Brand A can end the agreement on a change of control, it expires 31 Dec 2026, and Brand A now sells direct</t>
        </is>
      </c>
      <c r="D11" s="7" t="inlineStr">
        <is>
          <t>Earn-out</t>
        </is>
      </c>
      <c r="E11" s="8" t="inlineStr"/>
    </row>
    <row r="12" ht="15" customHeight="1">
      <c r="A12" s="7" t="inlineStr">
        <is>
          <t>Suppliers stretched before sale</t>
        </is>
      </c>
      <c r="B12" s="7" t="inlineStr">
        <is>
          <t>creditor_ageing.csv</t>
        </is>
      </c>
      <c r="C12" s="7" t="inlineStr">
        <is>
          <t>Payables at 70 days against contractual terms of 44 days</t>
        </is>
      </c>
      <c r="D12" s="7" t="inlineStr">
        <is>
          <t>Completion accounts</t>
        </is>
      </c>
      <c r="E12" s="8" t="n">
        <v>-428024.1128093932</v>
      </c>
    </row>
    <row r="13" ht="30" customHeight="1">
      <c r="A13" s="7" t="inlineStr">
        <is>
          <t>German VAT never registered</t>
        </is>
      </c>
      <c r="B13" s="7" t="inlineStr">
        <is>
          <t>eu_fulfilment_sales.csv + contracts.csv</t>
        </is>
      </c>
      <c r="C13" s="7" t="inlineStr">
        <is>
          <t>£975k of sales shipped from a German warehouse since 2022 with no German VAT accounted</t>
        </is>
      </c>
      <c r="D13" s="7" t="inlineStr">
        <is>
          <t>Escrow</t>
        </is>
      </c>
      <c r="E13" s="8" t="n">
        <v>-171239.4957983193</v>
      </c>
    </row>
    <row r="15">
      <c r="A15" s="9" t="inlineStr">
        <is>
          <t>Reported EBITDA</t>
        </is>
      </c>
      <c r="E15" s="10" t="n">
        <v>950000</v>
      </c>
    </row>
    <row r="16">
      <c r="A16" s="9" t="inlineStr">
        <is>
          <t>EBITDA after due diligence</t>
        </is>
      </c>
      <c r="E16" s="10" t="n">
        <v>683640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60" customWidth="1" min="3" max="3"/>
    <col width="18" customWidth="1" min="4" max="4"/>
    <col width="10" customWidth="1" min="5" max="5"/>
  </cols>
  <sheetData>
    <row r="1">
      <c r="A1" s="1" t="inlineStr">
        <is>
          <t>Halvergate: due diligence findings (£k)</t>
        </is>
      </c>
    </row>
    <row r="2">
      <c r="A2" s="2" t="inlineStr">
        <is>
          <t>DirectSportsGoods is a fictional company. All figures are made up.</t>
        </is>
      </c>
    </row>
    <row r="3">
      <c r="A3" s="2" t="inlineStr">
        <is>
          <t>Every finding comes from a file in the data room.</t>
        </is>
      </c>
    </row>
    <row r="5">
      <c r="A5" s="3" t="inlineStr">
        <is>
          <t>Finding</t>
        </is>
      </c>
      <c r="B5" s="4" t="inlineStr">
        <is>
          <t>Source file</t>
        </is>
      </c>
      <c r="C5" s="4" t="inlineStr">
        <is>
          <t>What the file shows</t>
        </is>
      </c>
      <c r="D5" s="4" t="inlineStr">
        <is>
          <t>Affects</t>
        </is>
      </c>
      <c r="E5" s="4" t="inlineStr">
        <is>
          <t>£k</t>
        </is>
      </c>
    </row>
    <row r="6" ht="30" customHeight="1">
      <c r="A6" s="7" t="inlineStr">
        <is>
          <t>Rebates agreed personally</t>
        </is>
      </c>
      <c r="B6" s="7" t="inlineStr">
        <is>
          <t>contracts.csv</t>
        </is>
      </c>
      <c r="C6" s="7" t="inlineStr">
        <is>
          <t>£240k a year of supplier rebates rest on the founder's relationships, with nothing in writing</t>
        </is>
      </c>
      <c r="D6" s="7" t="inlineStr">
        <is>
          <t>EBITDA</t>
        </is>
      </c>
      <c r="E6" s="8" t="n">
        <v>-240000</v>
      </c>
    </row>
    <row r="7" ht="30" customHeight="1">
      <c r="A7" s="7" t="inlineStr">
        <is>
          <t>41% of sales go to tender</t>
        </is>
      </c>
      <c r="B7" s="7" t="inlineStr">
        <is>
          <t>contracts.csv + segments.csv</t>
        </is>
      </c>
      <c r="C7" s="7" t="inlineStr">
        <is>
          <t>The schools framework (£3.8m of sales, £888k contribution) is re-tendered in November 2026</t>
        </is>
      </c>
      <c r="D7" s="7" t="inlineStr">
        <is>
          <t>Scenario</t>
        </is>
      </c>
      <c r="E7" s="8" t="n">
        <v>-887520</v>
      </c>
    </row>
    <row r="8" ht="45" customHeight="1">
      <c r="A8" s="7" t="inlineStr">
        <is>
          <t>Above-market lease from the founder</t>
        </is>
      </c>
      <c r="B8" s="7" t="inlineStr">
        <is>
          <t>contracts.csv</t>
        </is>
      </c>
      <c r="C8" s="7" t="inlineStr">
        <is>
          <t>Warehouse rented from the founder's family at £210k against £105k market rent, 10 years left, no break. We could never close it</t>
        </is>
      </c>
      <c r="D8" s="7" t="inlineStr">
        <is>
          <t>Synergies</t>
        </is>
      </c>
      <c r="E8" s="8" t="n">
        <v>-1050000</v>
      </c>
    </row>
    <row r="9" ht="30" customHeight="1">
      <c r="A9" s="7" t="inlineStr">
        <is>
          <t>Seasonal cash drain</t>
        </is>
      </c>
      <c r="B9" s="7" t="inlineStr">
        <is>
          <t>management_accounts.csv</t>
        </is>
      </c>
      <c r="C9" s="7" t="inlineStr">
        <is>
          <t>78% of sales fall between September and March. Spring and summer months lose money</t>
        </is>
      </c>
      <c r="D9" s="7" t="inlineStr">
        <is>
          <t>Funding</t>
        </is>
      </c>
      <c r="E9" s="8" t="n">
        <v>-414901.36</v>
      </c>
    </row>
    <row r="11">
      <c r="A11" s="9" t="inlineStr">
        <is>
          <t>Reported EBITDA</t>
        </is>
      </c>
      <c r="E11" s="10" t="n">
        <v>1000000</v>
      </c>
    </row>
    <row r="12">
      <c r="A12" s="9" t="inlineStr">
        <is>
          <t>EBITDA after due diligence</t>
        </is>
      </c>
      <c r="E12" s="10" t="n">
        <v>760000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Discounted cash flow by case (£k)</t>
        </is>
      </c>
    </row>
    <row r="2">
      <c r="A2" s="2" t="inlineStr">
        <is>
          <t>DirectSportsGoods is a fictional company. All figures are made up.</t>
        </is>
      </c>
    </row>
    <row r="3">
      <c r="A3" s="2" t="inlineStr">
        <is>
          <t>Blue cells are inputs. Free cash flow = EBITDA - tax on (EBITDA - depreciation) - capex - working capital on growth.</t>
        </is>
      </c>
    </row>
    <row r="5">
      <c r="A5" s="3" t="inlineStr"/>
      <c r="B5" s="4" t="inlineStr">
        <is>
          <t>Year 1</t>
        </is>
      </c>
      <c r="C5" s="4" t="inlineStr">
        <is>
          <t>Year 2</t>
        </is>
      </c>
      <c r="D5" s="4" t="inlineStr">
        <is>
          <t>Year 3</t>
        </is>
      </c>
      <c r="E5" s="4" t="inlineStr">
        <is>
          <t>Year 4</t>
        </is>
      </c>
      <c r="F5" s="4" t="inlineStr">
        <is>
          <t>Year 5</t>
        </is>
      </c>
      <c r="G5" s="4" t="inlineStr">
        <is>
          <t>Terminal</t>
        </is>
      </c>
      <c r="H5" s="4" t="inlineStr">
        <is>
          <t>Value</t>
        </is>
      </c>
    </row>
    <row r="6">
      <c r="A6" s="11" t="inlineStr">
        <is>
          <t>Seller's case</t>
        </is>
      </c>
    </row>
    <row r="7">
      <c r="A7" t="inlineStr">
        <is>
          <t>Starting revenue</t>
        </is>
      </c>
      <c r="B7" s="12" t="n">
        <v>10400000</v>
      </c>
      <c r="C7" t="inlineStr">
        <is>
          <t>Discount rate</t>
        </is>
      </c>
      <c r="D7" s="13" t="n">
        <v>0.15</v>
      </c>
      <c r="E7" t="inlineStr">
        <is>
          <t>Terminal growth</t>
        </is>
      </c>
      <c r="F7" s="13" t="n">
        <v>0.02</v>
      </c>
    </row>
    <row r="8">
      <c r="A8" t="inlineStr">
        <is>
          <t>Revenue growth</t>
        </is>
      </c>
      <c r="B8" s="14" t="n">
        <v>0.2</v>
      </c>
      <c r="C8" s="14" t="n">
        <v>0.15</v>
      </c>
      <c r="D8" s="14" t="n">
        <v>0.12</v>
      </c>
      <c r="E8" s="14" t="n">
        <v>0.1</v>
      </c>
      <c r="F8" s="14" t="n">
        <v>0.08</v>
      </c>
    </row>
    <row r="9">
      <c r="A9" t="inlineStr">
        <is>
          <t>EBITDA margin</t>
        </is>
      </c>
      <c r="B9" s="14" t="n">
        <v>0.09134615384615384</v>
      </c>
      <c r="C9" s="14" t="n">
        <v>0.09134615384615384</v>
      </c>
      <c r="D9" s="14" t="n">
        <v>0.09134615384615384</v>
      </c>
      <c r="E9" s="14" t="n">
        <v>0.09134615384615384</v>
      </c>
      <c r="F9" s="14" t="n">
        <v>0.09134615384615384</v>
      </c>
    </row>
    <row r="10">
      <c r="A10" t="inlineStr">
        <is>
          <t>Revenue</t>
        </is>
      </c>
      <c r="B10" s="10">
        <f>$B$7*(1+B8)</f>
        <v/>
      </c>
      <c r="C10" s="10">
        <f>B10*(1+C8)</f>
        <v/>
      </c>
      <c r="D10" s="10">
        <f>C10*(1+D8)</f>
        <v/>
      </c>
      <c r="E10" s="10">
        <f>D10*(1+E8)</f>
        <v/>
      </c>
      <c r="F10" s="10">
        <f>E10*(1+F8)</f>
        <v/>
      </c>
    </row>
    <row r="11">
      <c r="A11" t="inlineStr">
        <is>
          <t>EBITDA</t>
        </is>
      </c>
      <c r="B11" s="10">
        <f>B10*B9</f>
        <v/>
      </c>
      <c r="C11" s="10">
        <f>C10*C9</f>
        <v/>
      </c>
      <c r="D11" s="10">
        <f>D10*D9</f>
        <v/>
      </c>
      <c r="E11" s="10">
        <f>E10*E9</f>
        <v/>
      </c>
      <c r="F11" s="10">
        <f>F10*F9</f>
        <v/>
      </c>
    </row>
    <row r="12">
      <c r="A12" t="inlineStr">
        <is>
          <t>Free cash flow</t>
        </is>
      </c>
      <c r="B12" s="10">
        <f>B11-0.25*(B11-40000)-50000-0.1*(B10-$B$7)</f>
        <v/>
      </c>
      <c r="C12" s="10">
        <f>C11-0.25*(C11-40000)-50000-0.1*(C10-B10)</f>
        <v/>
      </c>
      <c r="D12" s="10">
        <f>D11-0.25*(D11-40000)-50000-0.1*(D10-C10)</f>
        <v/>
      </c>
      <c r="E12" s="10">
        <f>E11-0.25*(E11-40000)-50000-0.1*(E10-D10)</f>
        <v/>
      </c>
      <c r="F12" s="10">
        <f>F11-0.25*(F11-40000)-50000-0.1*(F10-E10)</f>
        <v/>
      </c>
      <c r="G12" s="10">
        <f>F12*(1+$F$7)/($D$7-$F$7)</f>
        <v/>
      </c>
    </row>
    <row r="13">
      <c r="A13" t="inlineStr">
        <is>
          <t>Discount factor</t>
        </is>
      </c>
      <c r="B13" s="15">
        <f>1/(1+$D$7)^1</f>
        <v/>
      </c>
      <c r="C13" s="15">
        <f>1/(1+$D$7)^2</f>
        <v/>
      </c>
      <c r="D13" s="15">
        <f>1/(1+$D$7)^3</f>
        <v/>
      </c>
      <c r="E13" s="15">
        <f>1/(1+$D$7)^4</f>
        <v/>
      </c>
      <c r="F13" s="15">
        <f>1/(1+$D$7)^5</f>
        <v/>
      </c>
      <c r="G13" s="15">
        <f>F13</f>
        <v/>
      </c>
    </row>
    <row r="14">
      <c r="A14" t="inlineStr">
        <is>
          <t>Present value</t>
        </is>
      </c>
      <c r="B14" s="10">
        <f>B12*B13</f>
        <v/>
      </c>
      <c r="C14" s="10">
        <f>C12*C13</f>
        <v/>
      </c>
      <c r="D14" s="10">
        <f>D12*D13</f>
        <v/>
      </c>
      <c r="E14" s="10">
        <f>E12*E13</f>
        <v/>
      </c>
      <c r="F14" s="10">
        <f>F12*F13</f>
        <v/>
      </c>
      <c r="G14" s="10">
        <f>G12*G13</f>
        <v/>
      </c>
      <c r="H14" s="16">
        <f>SUM(B14:G14)</f>
        <v/>
      </c>
    </row>
    <row r="16">
      <c r="A16" s="11" t="inlineStr">
        <is>
          <t>Fernbrook, brand renewed</t>
        </is>
      </c>
    </row>
    <row r="17">
      <c r="A17" t="inlineStr">
        <is>
          <t>Starting revenue</t>
        </is>
      </c>
      <c r="B17" s="12" t="n">
        <v>10400000</v>
      </c>
      <c r="C17" t="inlineStr">
        <is>
          <t>Discount rate</t>
        </is>
      </c>
      <c r="D17" s="13" t="n">
        <v>0.15</v>
      </c>
      <c r="E17" t="inlineStr">
        <is>
          <t>Terminal growth</t>
        </is>
      </c>
      <c r="F17" s="13" t="n">
        <v>0.02</v>
      </c>
    </row>
    <row r="18">
      <c r="A18" t="inlineStr">
        <is>
          <t>Revenue growth</t>
        </is>
      </c>
      <c r="B18" s="14" t="n">
        <v>0.06</v>
      </c>
      <c r="C18" s="14" t="n">
        <v>0.05</v>
      </c>
      <c r="D18" s="14" t="n">
        <v>0.04</v>
      </c>
      <c r="E18" s="14" t="n">
        <v>0.03</v>
      </c>
      <c r="F18" s="14" t="n">
        <v>0.03</v>
      </c>
    </row>
    <row r="19">
      <c r="A19" t="inlineStr">
        <is>
          <t>EBITDA margin</t>
        </is>
      </c>
      <c r="B19" s="14" t="n">
        <v>0.06573461538461539</v>
      </c>
      <c r="C19" s="14" t="n">
        <v>0.06573461538461539</v>
      </c>
      <c r="D19" s="14" t="n">
        <v>0.06573461538461539</v>
      </c>
      <c r="E19" s="14" t="n">
        <v>0.06573461538461539</v>
      </c>
      <c r="F19" s="14" t="n">
        <v>0.06573461538461539</v>
      </c>
    </row>
    <row r="20">
      <c r="A20" t="inlineStr">
        <is>
          <t>Revenue</t>
        </is>
      </c>
      <c r="B20" s="10">
        <f>$B$17*(1+B18)</f>
        <v/>
      </c>
      <c r="C20" s="10">
        <f>B20*(1+C18)</f>
        <v/>
      </c>
      <c r="D20" s="10">
        <f>C20*(1+D18)</f>
        <v/>
      </c>
      <c r="E20" s="10">
        <f>D20*(1+E18)</f>
        <v/>
      </c>
      <c r="F20" s="10">
        <f>E20*(1+F18)</f>
        <v/>
      </c>
    </row>
    <row r="21">
      <c r="A21" t="inlineStr">
        <is>
          <t>EBITDA</t>
        </is>
      </c>
      <c r="B21" s="10">
        <f>B20*B19</f>
        <v/>
      </c>
      <c r="C21" s="10">
        <f>C20*C19</f>
        <v/>
      </c>
      <c r="D21" s="10">
        <f>D20*D19</f>
        <v/>
      </c>
      <c r="E21" s="10">
        <f>E20*E19</f>
        <v/>
      </c>
      <c r="F21" s="10">
        <f>F20*F19</f>
        <v/>
      </c>
    </row>
    <row r="22">
      <c r="A22" t="inlineStr">
        <is>
          <t>Free cash flow</t>
        </is>
      </c>
      <c r="B22" s="10">
        <f>B21-0.25*(B21-40000)-50000-0.1*(B20-$B$17)</f>
        <v/>
      </c>
      <c r="C22" s="10">
        <f>C21-0.25*(C21-40000)-50000-0.1*(C20-B20)</f>
        <v/>
      </c>
      <c r="D22" s="10">
        <f>D21-0.25*(D21-40000)-50000-0.1*(D20-C20)</f>
        <v/>
      </c>
      <c r="E22" s="10">
        <f>E21-0.25*(E21-40000)-50000-0.1*(E20-D20)</f>
        <v/>
      </c>
      <c r="F22" s="10">
        <f>F21-0.25*(F21-40000)-50000-0.1*(F20-E20)</f>
        <v/>
      </c>
      <c r="G22" s="10">
        <f>F22*(1+$F$17)/($D$17-$F$17)</f>
        <v/>
      </c>
    </row>
    <row r="23">
      <c r="A23" t="inlineStr">
        <is>
          <t>Discount factor</t>
        </is>
      </c>
      <c r="B23" s="15">
        <f>1/(1+$D$17)^1</f>
        <v/>
      </c>
      <c r="C23" s="15">
        <f>1/(1+$D$17)^2</f>
        <v/>
      </c>
      <c r="D23" s="15">
        <f>1/(1+$D$17)^3</f>
        <v/>
      </c>
      <c r="E23" s="15">
        <f>1/(1+$D$17)^4</f>
        <v/>
      </c>
      <c r="F23" s="15">
        <f>1/(1+$D$17)^5</f>
        <v/>
      </c>
      <c r="G23" s="15">
        <f>F23</f>
        <v/>
      </c>
    </row>
    <row r="24">
      <c r="A24" t="inlineStr">
        <is>
          <t>Present value</t>
        </is>
      </c>
      <c r="B24" s="10">
        <f>B22*B23</f>
        <v/>
      </c>
      <c r="C24" s="10">
        <f>C22*C23</f>
        <v/>
      </c>
      <c r="D24" s="10">
        <f>D22*D23</f>
        <v/>
      </c>
      <c r="E24" s="10">
        <f>E22*E23</f>
        <v/>
      </c>
      <c r="F24" s="10">
        <f>F22*F23</f>
        <v/>
      </c>
      <c r="G24" s="10">
        <f>G22*G23</f>
        <v/>
      </c>
      <c r="H24" s="16">
        <f>SUM(B24:G24)</f>
        <v/>
      </c>
    </row>
    <row r="26">
      <c r="A26" s="11" t="inlineStr">
        <is>
          <t>Fernbrook, brand lost</t>
        </is>
      </c>
    </row>
    <row r="27">
      <c r="A27" t="inlineStr">
        <is>
          <t>Starting revenue</t>
        </is>
      </c>
      <c r="B27" s="12" t="n">
        <v>10400000</v>
      </c>
      <c r="C27" t="inlineStr">
        <is>
          <t>Discount rate</t>
        </is>
      </c>
      <c r="D27" s="13" t="n">
        <v>0.15</v>
      </c>
      <c r="E27" t="inlineStr">
        <is>
          <t>Terminal growth</t>
        </is>
      </c>
      <c r="F27" s="13" t="n">
        <v>0.02</v>
      </c>
    </row>
    <row r="28">
      <c r="A28" t="inlineStr">
        <is>
          <t>Revenue growth</t>
        </is>
      </c>
      <c r="B28" s="14" t="n">
        <v>0.06</v>
      </c>
      <c r="C28" s="14" t="n">
        <v>-0.21</v>
      </c>
      <c r="D28" s="14" t="n">
        <v>0.03</v>
      </c>
      <c r="E28" s="14" t="n">
        <v>0.03</v>
      </c>
      <c r="F28" s="14" t="n">
        <v>0.03</v>
      </c>
    </row>
    <row r="29">
      <c r="A29" t="inlineStr">
        <is>
          <t>EBITDA margin</t>
        </is>
      </c>
      <c r="B29" s="14" t="n">
        <v>0.06573461538461539</v>
      </c>
      <c r="C29" s="14" t="n">
        <v>0.05573461538461539</v>
      </c>
      <c r="D29" s="14" t="n">
        <v>0.05573461538461539</v>
      </c>
      <c r="E29" s="14" t="n">
        <v>0.05573461538461539</v>
      </c>
      <c r="F29" s="14" t="n">
        <v>0.05573461538461539</v>
      </c>
    </row>
    <row r="30">
      <c r="A30" t="inlineStr">
        <is>
          <t>Revenue</t>
        </is>
      </c>
      <c r="B30" s="10">
        <f>$B$27*(1+B28)</f>
        <v/>
      </c>
      <c r="C30" s="10">
        <f>B30*(1+C28)</f>
        <v/>
      </c>
      <c r="D30" s="10">
        <f>C30*(1+D28)</f>
        <v/>
      </c>
      <c r="E30" s="10">
        <f>D30*(1+E28)</f>
        <v/>
      </c>
      <c r="F30" s="10">
        <f>E30*(1+F28)</f>
        <v/>
      </c>
    </row>
    <row r="31">
      <c r="A31" t="inlineStr">
        <is>
          <t>EBITDA</t>
        </is>
      </c>
      <c r="B31" s="10">
        <f>B30*B29</f>
        <v/>
      </c>
      <c r="C31" s="10">
        <f>C30*C29</f>
        <v/>
      </c>
      <c r="D31" s="10">
        <f>D30*D29</f>
        <v/>
      </c>
      <c r="E31" s="10">
        <f>E30*E29</f>
        <v/>
      </c>
      <c r="F31" s="10">
        <f>F30*F29</f>
        <v/>
      </c>
    </row>
    <row r="32">
      <c r="A32" t="inlineStr">
        <is>
          <t>Free cash flow</t>
        </is>
      </c>
      <c r="B32" s="10">
        <f>B31-0.25*(B31-40000)-50000-0.1*(B30-$B$27)</f>
        <v/>
      </c>
      <c r="C32" s="10">
        <f>C31-0.25*(C31-40000)-50000-0.1*(C30-B30)</f>
        <v/>
      </c>
      <c r="D32" s="10">
        <f>D31-0.25*(D31-40000)-50000-0.1*(D30-C30)</f>
        <v/>
      </c>
      <c r="E32" s="10">
        <f>E31-0.25*(E31-40000)-50000-0.1*(E30-D30)</f>
        <v/>
      </c>
      <c r="F32" s="10">
        <f>F31-0.25*(F31-40000)-50000-0.1*(F30-E30)</f>
        <v/>
      </c>
      <c r="G32" s="10">
        <f>F32*(1+$F$27)/($D$27-$F$27)</f>
        <v/>
      </c>
    </row>
    <row r="33">
      <c r="A33" t="inlineStr">
        <is>
          <t>Discount factor</t>
        </is>
      </c>
      <c r="B33" s="15">
        <f>1/(1+$D$27)^1</f>
        <v/>
      </c>
      <c r="C33" s="15">
        <f>1/(1+$D$27)^2</f>
        <v/>
      </c>
      <c r="D33" s="15">
        <f>1/(1+$D$27)^3</f>
        <v/>
      </c>
      <c r="E33" s="15">
        <f>1/(1+$D$27)^4</f>
        <v/>
      </c>
      <c r="F33" s="15">
        <f>1/(1+$D$27)^5</f>
        <v/>
      </c>
      <c r="G33" s="15">
        <f>F33</f>
        <v/>
      </c>
    </row>
    <row r="34">
      <c r="A34" t="inlineStr">
        <is>
          <t>Present value</t>
        </is>
      </c>
      <c r="B34" s="10">
        <f>B32*B33</f>
        <v/>
      </c>
      <c r="C34" s="10">
        <f>C32*C33</f>
        <v/>
      </c>
      <c r="D34" s="10">
        <f>D32*D33</f>
        <v/>
      </c>
      <c r="E34" s="10">
        <f>E32*E33</f>
        <v/>
      </c>
      <c r="F34" s="10">
        <f>F32*F33</f>
        <v/>
      </c>
      <c r="G34" s="10">
        <f>G32*G33</f>
        <v/>
      </c>
      <c r="H34" s="16">
        <f>SUM(B34:G34)</f>
        <v/>
      </c>
    </row>
    <row r="36">
      <c r="A36" s="11" t="inlineStr">
        <is>
          <t>Halvergate, framework kept at 5% lower prices</t>
        </is>
      </c>
    </row>
    <row r="37">
      <c r="A37" t="inlineStr">
        <is>
          <t>Starting revenue</t>
        </is>
      </c>
      <c r="B37" s="12" t="n">
        <v>9200000</v>
      </c>
      <c r="C37" t="inlineStr">
        <is>
          <t>Discount rate</t>
        </is>
      </c>
      <c r="D37" s="13" t="n">
        <v>0.15</v>
      </c>
      <c r="E37" t="inlineStr">
        <is>
          <t>Terminal growth</t>
        </is>
      </c>
      <c r="F37" s="13" t="n">
        <v>0.02</v>
      </c>
    </row>
    <row r="38">
      <c r="A38" t="inlineStr">
        <is>
          <t>Revenue growth</t>
        </is>
      </c>
      <c r="B38" s="14" t="n">
        <v>-0.0205</v>
      </c>
      <c r="C38" s="14" t="n">
        <v>0.02</v>
      </c>
      <c r="D38" s="14" t="n">
        <v>0.02</v>
      </c>
      <c r="E38" s="14" t="n">
        <v>0.02</v>
      </c>
      <c r="F38" s="14" t="n">
        <v>0.02</v>
      </c>
    </row>
    <row r="39">
      <c r="A39" t="inlineStr">
        <is>
          <t>EBITDA margin</t>
        </is>
      </c>
      <c r="B39" s="14" t="n">
        <v>0.06340857136515969</v>
      </c>
      <c r="C39" s="14" t="n">
        <v>0.06340857136515969</v>
      </c>
      <c r="D39" s="14" t="n">
        <v>0.06340857136515969</v>
      </c>
      <c r="E39" s="14" t="n">
        <v>0.06340857136515969</v>
      </c>
      <c r="F39" s="14" t="n">
        <v>0.06340857136515969</v>
      </c>
    </row>
    <row r="40">
      <c r="A40" t="inlineStr">
        <is>
          <t>Revenue</t>
        </is>
      </c>
      <c r="B40" s="10">
        <f>$B$37*(1+B38)</f>
        <v/>
      </c>
      <c r="C40" s="10">
        <f>B40*(1+C38)</f>
        <v/>
      </c>
      <c r="D40" s="10">
        <f>C40*(1+D38)</f>
        <v/>
      </c>
      <c r="E40" s="10">
        <f>D40*(1+E38)</f>
        <v/>
      </c>
      <c r="F40" s="10">
        <f>E40*(1+F38)</f>
        <v/>
      </c>
    </row>
    <row r="41">
      <c r="A41" t="inlineStr">
        <is>
          <t>EBITDA</t>
        </is>
      </c>
      <c r="B41" s="10">
        <f>B40*B39</f>
        <v/>
      </c>
      <c r="C41" s="10">
        <f>C40*C39</f>
        <v/>
      </c>
      <c r="D41" s="10">
        <f>D40*D39</f>
        <v/>
      </c>
      <c r="E41" s="10">
        <f>E40*E39</f>
        <v/>
      </c>
      <c r="F41" s="10">
        <f>F40*F39</f>
        <v/>
      </c>
    </row>
    <row r="42">
      <c r="A42" t="inlineStr">
        <is>
          <t>Free cash flow</t>
        </is>
      </c>
      <c r="B42" s="10">
        <f>B41-0.25*(B41-40000)-50000-0.1*(B40-$B$37)</f>
        <v/>
      </c>
      <c r="C42" s="10">
        <f>C41-0.25*(C41-40000)-50000-0.1*(C40-B40)</f>
        <v/>
      </c>
      <c r="D42" s="10">
        <f>D41-0.25*(D41-40000)-50000-0.1*(D40-C40)</f>
        <v/>
      </c>
      <c r="E42" s="10">
        <f>E41-0.25*(E41-40000)-50000-0.1*(E40-D40)</f>
        <v/>
      </c>
      <c r="F42" s="10">
        <f>F41-0.25*(F41-40000)-50000-0.1*(F40-E40)</f>
        <v/>
      </c>
      <c r="G42" s="10">
        <f>F42*(1+$F$37)/($D$37-$F$37)</f>
        <v/>
      </c>
    </row>
    <row r="43">
      <c r="A43" t="inlineStr">
        <is>
          <t>Discount factor</t>
        </is>
      </c>
      <c r="B43" s="15">
        <f>1/(1+$D$37)^1</f>
        <v/>
      </c>
      <c r="C43" s="15">
        <f>1/(1+$D$37)^2</f>
        <v/>
      </c>
      <c r="D43" s="15">
        <f>1/(1+$D$37)^3</f>
        <v/>
      </c>
      <c r="E43" s="15">
        <f>1/(1+$D$37)^4</f>
        <v/>
      </c>
      <c r="F43" s="15">
        <f>1/(1+$D$37)^5</f>
        <v/>
      </c>
      <c r="G43" s="15">
        <f>F43</f>
        <v/>
      </c>
    </row>
    <row r="44">
      <c r="A44" t="inlineStr">
        <is>
          <t>Present value</t>
        </is>
      </c>
      <c r="B44" s="10">
        <f>B42*B43</f>
        <v/>
      </c>
      <c r="C44" s="10">
        <f>C42*C43</f>
        <v/>
      </c>
      <c r="D44" s="10">
        <f>D42*D43</f>
        <v/>
      </c>
      <c r="E44" s="10">
        <f>E42*E43</f>
        <v/>
      </c>
      <c r="F44" s="10">
        <f>F42*F43</f>
        <v/>
      </c>
      <c r="G44" s="10">
        <f>G42*G43</f>
        <v/>
      </c>
      <c r="H44" s="16">
        <f>SUM(B44:G44)</f>
        <v/>
      </c>
    </row>
    <row r="46">
      <c r="A46" s="11" t="inlineStr">
        <is>
          <t>Halvergate, framework lost</t>
        </is>
      </c>
    </row>
    <row r="47">
      <c r="A47" t="inlineStr">
        <is>
          <t>Starting revenue</t>
        </is>
      </c>
      <c r="B47" s="12" t="n">
        <v>9200000</v>
      </c>
      <c r="C47" t="inlineStr">
        <is>
          <t>Discount rate</t>
        </is>
      </c>
      <c r="D47" s="13" t="n">
        <v>0.15</v>
      </c>
      <c r="E47" t="inlineStr">
        <is>
          <t>Terminal growth</t>
        </is>
      </c>
      <c r="F47" s="13" t="n">
        <v>0.02</v>
      </c>
    </row>
    <row r="48">
      <c r="A48" t="inlineStr">
        <is>
          <t>Revenue growth</t>
        </is>
      </c>
      <c r="B48" s="14" t="n">
        <v>0</v>
      </c>
      <c r="C48" s="14" t="n">
        <v>-0.41</v>
      </c>
      <c r="D48" s="14" t="n">
        <v>0.02</v>
      </c>
      <c r="E48" s="14" t="n">
        <v>0.02</v>
      </c>
      <c r="F48" s="14" t="n">
        <v>0.02</v>
      </c>
    </row>
    <row r="49">
      <c r="A49" t="inlineStr">
        <is>
          <t>EBITDA margin</t>
        </is>
      </c>
      <c r="B49" s="14" t="n">
        <v>0.08260869565217391</v>
      </c>
      <c r="C49" s="14" t="n">
        <v>-0.02349299926308033</v>
      </c>
      <c r="D49" s="14" t="n">
        <v>-0.02349299926308033</v>
      </c>
      <c r="E49" s="14" t="n">
        <v>-0.02349299926308033</v>
      </c>
      <c r="F49" s="14" t="n">
        <v>-0.02349299926308033</v>
      </c>
    </row>
    <row r="50">
      <c r="A50" t="inlineStr">
        <is>
          <t>Revenue</t>
        </is>
      </c>
      <c r="B50" s="10">
        <f>$B$47*(1+B48)</f>
        <v/>
      </c>
      <c r="C50" s="10">
        <f>B50*(1+C48)</f>
        <v/>
      </c>
      <c r="D50" s="10">
        <f>C50*(1+D48)</f>
        <v/>
      </c>
      <c r="E50" s="10">
        <f>D50*(1+E48)</f>
        <v/>
      </c>
      <c r="F50" s="10">
        <f>E50*(1+F48)</f>
        <v/>
      </c>
    </row>
    <row r="51">
      <c r="A51" t="inlineStr">
        <is>
          <t>EBITDA</t>
        </is>
      </c>
      <c r="B51" s="10">
        <f>B50*B49</f>
        <v/>
      </c>
      <c r="C51" s="10">
        <f>C50*C49</f>
        <v/>
      </c>
      <c r="D51" s="10">
        <f>D50*D49</f>
        <v/>
      </c>
      <c r="E51" s="10">
        <f>E50*E49</f>
        <v/>
      </c>
      <c r="F51" s="10">
        <f>F50*F49</f>
        <v/>
      </c>
    </row>
    <row r="52">
      <c r="A52" t="inlineStr">
        <is>
          <t>Free cash flow</t>
        </is>
      </c>
      <c r="B52" s="10">
        <f>B51-0.25*(B51-40000)-50000-0.1*(B50-$B$47)</f>
        <v/>
      </c>
      <c r="C52" s="10">
        <f>C51-0.25*(C51-40000)-50000-0.1*(C50-B50)</f>
        <v/>
      </c>
      <c r="D52" s="10">
        <f>D51-0.25*(D51-40000)-50000-0.1*(D50-C50)</f>
        <v/>
      </c>
      <c r="E52" s="10">
        <f>E51-0.25*(E51-40000)-50000-0.1*(E50-D50)</f>
        <v/>
      </c>
      <c r="F52" s="10">
        <f>F51-0.25*(F51-40000)-50000-0.1*(F50-E50)</f>
        <v/>
      </c>
      <c r="G52" s="10">
        <f>F52*(1+$F$47)/($D$47-$F$47)</f>
        <v/>
      </c>
    </row>
    <row r="53">
      <c r="A53" t="inlineStr">
        <is>
          <t>Discount factor</t>
        </is>
      </c>
      <c r="B53" s="15">
        <f>1/(1+$D$47)^1</f>
        <v/>
      </c>
      <c r="C53" s="15">
        <f>1/(1+$D$47)^2</f>
        <v/>
      </c>
      <c r="D53" s="15">
        <f>1/(1+$D$47)^3</f>
        <v/>
      </c>
      <c r="E53" s="15">
        <f>1/(1+$D$47)^4</f>
        <v/>
      </c>
      <c r="F53" s="15">
        <f>1/(1+$D$47)^5</f>
        <v/>
      </c>
      <c r="G53" s="15">
        <f>F53</f>
        <v/>
      </c>
    </row>
    <row r="54">
      <c r="A54" t="inlineStr">
        <is>
          <t>Present value</t>
        </is>
      </c>
      <c r="B54" s="10">
        <f>B52*B53</f>
        <v/>
      </c>
      <c r="C54" s="10">
        <f>C52*C53</f>
        <v/>
      </c>
      <c r="D54" s="10">
        <f>D52*D53</f>
        <v/>
      </c>
      <c r="E54" s="10">
        <f>E52*E53</f>
        <v/>
      </c>
      <c r="F54" s="10">
        <f>F52*F53</f>
        <v/>
      </c>
      <c r="G54" s="10">
        <f>G52*G53</f>
        <v/>
      </c>
      <c r="H54" s="16">
        <f>SUM(B54:G54)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s="1" t="inlineStr">
        <is>
          <t>Fernbrook: from asking price to offer (£k)</t>
        </is>
      </c>
    </row>
    <row r="2">
      <c r="A2" s="2" t="inlineStr">
        <is>
          <t>DirectSportsGoods is a fictional company. All figures are made up.</t>
        </is>
      </c>
    </row>
    <row r="5">
      <c r="A5" s="3" t="inlineStr">
        <is>
          <t>Step</t>
        </is>
      </c>
      <c r="B5" s="4" t="inlineStr">
        <is>
          <t>£k</t>
        </is>
      </c>
    </row>
    <row r="6">
      <c r="A6" s="9" t="inlineStr">
        <is>
          <t>Asking price</t>
        </is>
      </c>
      <c r="B6" s="16" t="n">
        <v>6500000</v>
      </c>
    </row>
    <row r="7">
      <c r="A7" t="inlineStr">
        <is>
          <t>Seller's own forecast, valued at our 15% rate</t>
        </is>
      </c>
      <c r="B7" s="10" t="n">
        <v>7217745.463701503</v>
      </c>
    </row>
    <row r="8">
      <c r="A8" t="inlineStr">
        <is>
          <t>Less: diligence adjustments to earnings and growth</t>
        </is>
      </c>
      <c r="B8" s="10" t="n">
        <v>-3405428.141071185</v>
      </c>
    </row>
    <row r="9">
      <c r="A9" t="inlineStr">
        <is>
          <t>Less: brand agreement at risk (50% chance of losing it)</t>
        </is>
      </c>
      <c r="B9" s="10" t="n">
        <v>-585662.2035838966</v>
      </c>
    </row>
    <row r="10">
      <c r="A10" t="inlineStr">
        <is>
          <t>Plus: 30% of our synergies</t>
        </is>
      </c>
      <c r="B10" s="10" t="n">
        <v>730491.8528571426</v>
      </c>
    </row>
    <row r="11">
      <c r="A11" s="9" t="inlineStr">
        <is>
          <t>Walk-away price</t>
        </is>
      </c>
      <c r="B11" s="16" t="n">
        <v>3957146.971903565</v>
      </c>
    </row>
    <row r="12">
      <c r="A12" s="9" t="inlineStr">
        <is>
          <t>Upfront price offered (brand-lost value plus synergy share, rounded down)</t>
        </is>
      </c>
      <c r="B12" s="16" t="n">
        <v>3250000</v>
      </c>
    </row>
    <row r="13">
      <c r="A13" t="inlineStr">
        <is>
          <t>Earn-out if Brand A renews for 3 years (gap between renewed and lost values)</t>
        </is>
      </c>
      <c r="B13" s="10" t="n">
        <v>1250000</v>
      </c>
    </row>
    <row r="14">
      <c r="A14" t="inlineStr">
        <is>
          <t>Less at completion: suppliers stretched to 70 days, back to terms</t>
        </is>
      </c>
      <c r="B14" s="10" t="n">
        <v>-428024.1128093932</v>
      </c>
    </row>
    <row r="15">
      <c r="A15" s="9" t="inlineStr">
        <is>
          <t>Paid at completion</t>
        </is>
      </c>
      <c r="B15" s="16" t="n">
        <v>2821975.887190607</v>
      </c>
    </row>
    <row r="16">
      <c r="A16" t="inlineStr">
        <is>
          <t>Held in escrow from that payment for German VAT, 24 months</t>
        </is>
      </c>
      <c r="B16" s="10" t="n">
        <v>200000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2" customWidth="1" min="2" max="2"/>
  </cols>
  <sheetData>
    <row r="1">
      <c r="A1" s="1" t="inlineStr">
        <is>
          <t>Synergies with Fernbrook (£k, before tax)</t>
        </is>
      </c>
    </row>
    <row r="2">
      <c r="A2" s="2" t="inlineStr">
        <is>
          <t>DirectSportsGoods is a fictional company. All figures are made up.</t>
        </is>
      </c>
    </row>
    <row r="5">
      <c r="A5" s="3" t="inlineStr"/>
      <c r="B5" s="4" t="inlineStr">
        <is>
          <t>Run rate</t>
        </is>
      </c>
    </row>
    <row r="6">
      <c r="A6" t="inlineStr">
        <is>
          <t>Delivery on our carrier contract (£4.45 an order, from P3)</t>
        </is>
      </c>
      <c r="B6" s="10" t="n">
        <v>142500</v>
      </c>
    </row>
    <row r="7">
      <c r="A7" t="inlineStr">
        <is>
          <t>Close their warehouse (rent)</t>
        </is>
      </c>
      <c r="B7" s="10" t="n">
        <v>180000</v>
      </c>
    </row>
    <row r="8">
      <c r="A8" t="inlineStr">
        <is>
          <t>Pick and pack in our warehouse</t>
        </is>
      </c>
      <c r="B8" s="10" t="n">
        <v>16921.82399999996</v>
      </c>
    </row>
    <row r="9">
      <c r="A9" t="inlineStr">
        <is>
          <t>Duplicate software, audit and insurance</t>
        </is>
      </c>
      <c r="B9" s="10" t="n">
        <v>120000</v>
      </c>
    </row>
    <row r="10">
      <c r="A10" s="9" t="inlineStr">
        <is>
          <t>Total run rate</t>
        </is>
      </c>
      <c r="B10" s="10" t="n">
        <v>459421.824</v>
      </c>
    </row>
    <row r="12">
      <c r="A12" s="3" t="inlineStr">
        <is>
          <t>One-off costs, year 1</t>
        </is>
      </c>
      <c r="B12" s="4" t="inlineStr">
        <is>
          <t>£k</t>
        </is>
      </c>
    </row>
    <row r="13">
      <c r="A13" t="inlineStr">
        <is>
          <t>Warehouse move</t>
        </is>
      </c>
      <c r="B13" s="10" t="n">
        <v>-150000</v>
      </c>
    </row>
    <row r="14">
      <c r="A14" t="inlineStr">
        <is>
          <t>Platform migration</t>
        </is>
      </c>
      <c r="B14" s="10" t="n">
        <v>-120000</v>
      </c>
    </row>
    <row r="15">
      <c r="A15" t="inlineStr">
        <is>
          <t>Lease break fee</t>
        </is>
      </c>
      <c r="B15" s="10" t="n">
        <v>-60000</v>
      </c>
    </row>
    <row r="16">
      <c r="A16" t="inlineStr">
        <is>
          <t>Redundancy</t>
        </is>
      </c>
      <c r="B16" s="10" t="n">
        <v>-40000</v>
      </c>
    </row>
    <row r="17">
      <c r="A17" t="inlineStr">
        <is>
          <t>Customers lost in the switch, year 1 (2% of sales)</t>
        </is>
      </c>
      <c r="B17" s="10" t="n">
        <v>-52000</v>
      </c>
    </row>
    <row r="19">
      <c r="A19" s="3" t="inlineStr">
        <is>
          <t>Net synergies by year</t>
        </is>
      </c>
      <c r="B19" s="4" t="inlineStr">
        <is>
          <t>£k</t>
        </is>
      </c>
    </row>
    <row r="20">
      <c r="A20" t="inlineStr">
        <is>
          <t>Year 1</t>
        </is>
      </c>
      <c r="B20" s="10" t="n">
        <v>-192289.088</v>
      </c>
    </row>
    <row r="21">
      <c r="A21" t="inlineStr">
        <is>
          <t>Year 2</t>
        </is>
      </c>
      <c r="B21" s="10" t="n">
        <v>459421.824</v>
      </c>
    </row>
    <row r="22">
      <c r="A22" t="inlineStr">
        <is>
          <t>Year 3</t>
        </is>
      </c>
      <c r="B22" s="10" t="n">
        <v>459421.824</v>
      </c>
    </row>
    <row r="23">
      <c r="A23" t="inlineStr">
        <is>
          <t>Year 4</t>
        </is>
      </c>
      <c r="B23" s="10" t="n">
        <v>459421.824</v>
      </c>
    </row>
    <row r="24">
      <c r="A24" t="inlineStr">
        <is>
          <t>Year 5</t>
        </is>
      </c>
      <c r="B24" s="10" t="n">
        <v>459421.824</v>
      </c>
    </row>
    <row r="26">
      <c r="A26" s="9" t="inlineStr">
        <is>
          <t>Net present value after tax at 12%, with year 5 held flat after</t>
        </is>
      </c>
      <c r="B26" s="10" t="n">
        <v>2434972.842857142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</cols>
  <sheetData>
    <row r="1">
      <c r="A1" s="1" t="inlineStr">
        <is>
          <t>Group cash after the deal (£k)</t>
        </is>
      </c>
    </row>
    <row r="2">
      <c r="A2" s="2" t="inlineStr">
        <is>
          <t>DirectSportsGoods is a fictional company. All figures are made up.</t>
        </is>
      </c>
    </row>
    <row r="3">
      <c r="A3" s="2" t="inlineStr">
        <is>
          <t>P3 forecast plus the deal: £2.5m loan at Bank Rate + 3.0%, repaid over 5 years. Board minimum: £2.0m.</t>
        </is>
      </c>
    </row>
    <row r="5">
      <c r="A5" s="3" t="inlineStr"/>
      <c r="B5" s="17" t="n">
        <v>46054</v>
      </c>
      <c r="C5" s="17" t="n">
        <v>46082</v>
      </c>
      <c r="D5" s="17" t="n">
        <v>46113</v>
      </c>
      <c r="E5" s="17" t="n">
        <v>46143</v>
      </c>
      <c r="F5" s="17" t="n">
        <v>46174</v>
      </c>
      <c r="G5" s="17" t="n">
        <v>46204</v>
      </c>
      <c r="H5" s="17" t="n">
        <v>46235</v>
      </c>
      <c r="I5" s="17" t="n">
        <v>46266</v>
      </c>
      <c r="J5" s="17" t="n">
        <v>46296</v>
      </c>
      <c r="K5" s="17" t="n">
        <v>46327</v>
      </c>
      <c r="L5" s="17" t="n">
        <v>46357</v>
      </c>
      <c r="M5" s="17" t="n">
        <v>46388</v>
      </c>
      <c r="N5" s="17" t="n">
        <v>46419</v>
      </c>
      <c r="O5" s="17" t="n">
        <v>46447</v>
      </c>
      <c r="P5" s="17" t="n">
        <v>46478</v>
      </c>
      <c r="Q5" s="17" t="n">
        <v>46508</v>
      </c>
      <c r="R5" s="17" t="n">
        <v>46539</v>
      </c>
      <c r="S5" s="17" t="n">
        <v>46569</v>
      </c>
      <c r="T5" s="4" t="inlineStr">
        <is>
          <t>Lowest</t>
        </is>
      </c>
    </row>
    <row r="6">
      <c r="A6" t="inlineStr">
        <is>
          <t>Base, brand renewed</t>
        </is>
      </c>
      <c r="B6" s="10" t="n">
        <v>5323975.35</v>
      </c>
      <c r="C6" s="10" t="n">
        <v>5294933.41</v>
      </c>
      <c r="D6" s="10" t="n">
        <v>5289266.6</v>
      </c>
      <c r="E6" s="10" t="n">
        <v>4703990.74</v>
      </c>
      <c r="F6" s="10" t="n">
        <v>4745300</v>
      </c>
      <c r="G6" s="10" t="n">
        <v>4849753.21</v>
      </c>
      <c r="H6" s="10" t="n">
        <v>5024143.69</v>
      </c>
      <c r="I6" s="10" t="n">
        <v>5216220.86</v>
      </c>
      <c r="J6" s="10" t="n">
        <v>5355110.4</v>
      </c>
      <c r="K6" s="10" t="n">
        <v>5516998.49</v>
      </c>
      <c r="L6" s="10" t="n">
        <v>5916143.87</v>
      </c>
      <c r="M6" s="10" t="n">
        <v>5968751.84</v>
      </c>
      <c r="N6" s="10" t="n">
        <v>4512818.17</v>
      </c>
      <c r="O6" s="10" t="n">
        <v>4497103.82</v>
      </c>
      <c r="P6" s="10" t="n">
        <v>4514448.46</v>
      </c>
      <c r="Q6" s="10" t="n">
        <v>4520936.84</v>
      </c>
      <c r="R6" s="10" t="n">
        <v>4903673.73</v>
      </c>
      <c r="S6" s="10" t="n">
        <v>5354771.69</v>
      </c>
      <c r="T6" s="10">
        <f>MIN(B6:S6)</f>
        <v/>
      </c>
    </row>
    <row r="7">
      <c r="A7" t="inlineStr">
        <is>
          <t>Base, brand lost</t>
        </is>
      </c>
      <c r="B7" s="10" t="n">
        <v>5323975.35</v>
      </c>
      <c r="C7" s="10" t="n">
        <v>5294933.41</v>
      </c>
      <c r="D7" s="10" t="n">
        <v>5289266.6</v>
      </c>
      <c r="E7" s="10" t="n">
        <v>4703990.74</v>
      </c>
      <c r="F7" s="10" t="n">
        <v>4745300</v>
      </c>
      <c r="G7" s="10" t="n">
        <v>4849753.21</v>
      </c>
      <c r="H7" s="10" t="n">
        <v>5024143.69</v>
      </c>
      <c r="I7" s="10" t="n">
        <v>5216220.86</v>
      </c>
      <c r="J7" s="10" t="n">
        <v>5355110.4</v>
      </c>
      <c r="K7" s="10" t="n">
        <v>5516998.49</v>
      </c>
      <c r="L7" s="10" t="n">
        <v>5916143.87</v>
      </c>
      <c r="M7" s="10" t="n">
        <v>5962291.44</v>
      </c>
      <c r="N7" s="10" t="n">
        <v>5748820.64</v>
      </c>
      <c r="O7" s="10" t="n">
        <v>5725569.16</v>
      </c>
      <c r="P7" s="10" t="n">
        <v>5734299.94</v>
      </c>
      <c r="Q7" s="10" t="n">
        <v>5730020.98</v>
      </c>
      <c r="R7" s="10" t="n">
        <v>6100913.81</v>
      </c>
      <c r="S7" s="10" t="n">
        <v>6540167.71</v>
      </c>
      <c r="T7" s="10">
        <f>MIN(B7:S7)</f>
        <v/>
      </c>
    </row>
    <row r="8">
      <c r="A8" t="inlineStr">
        <is>
          <t>Downside, brand renewed</t>
        </is>
      </c>
      <c r="B8" s="10" t="n">
        <v>5201607.11</v>
      </c>
      <c r="C8" s="10" t="n">
        <v>5039960.29</v>
      </c>
      <c r="D8" s="10" t="n">
        <v>4892435.22</v>
      </c>
      <c r="E8" s="10" t="n">
        <v>4140640.56</v>
      </c>
      <c r="F8" s="10" t="n">
        <v>3984282.17</v>
      </c>
      <c r="G8" s="10" t="n">
        <v>3882320.66</v>
      </c>
      <c r="H8" s="10" t="n">
        <v>4019327.57</v>
      </c>
      <c r="I8" s="10" t="n">
        <v>4024519.28</v>
      </c>
      <c r="J8" s="10" t="n">
        <v>3984425.19</v>
      </c>
      <c r="K8" s="10" t="n">
        <v>4107518.69</v>
      </c>
      <c r="L8" s="10" t="n">
        <v>4277319.15</v>
      </c>
      <c r="M8" s="10" t="n">
        <v>4157093</v>
      </c>
      <c r="N8" s="10" t="n">
        <v>2673551.73</v>
      </c>
      <c r="O8" s="10" t="n">
        <v>2437529.78</v>
      </c>
      <c r="P8" s="10" t="n">
        <v>2219301.77</v>
      </c>
      <c r="Q8" s="10" t="n">
        <v>2125593.98</v>
      </c>
      <c r="R8" s="10" t="n">
        <v>2181809.31</v>
      </c>
      <c r="S8" s="10" t="n">
        <v>2290115.24</v>
      </c>
      <c r="T8" s="10">
        <f>MIN(B8:S8)</f>
        <v/>
      </c>
    </row>
    <row r="9">
      <c r="A9" t="inlineStr">
        <is>
          <t>Downside, brand lost</t>
        </is>
      </c>
      <c r="B9" s="10" t="n">
        <v>5201607.11</v>
      </c>
      <c r="C9" s="10" t="n">
        <v>5039960.29</v>
      </c>
      <c r="D9" s="10" t="n">
        <v>4892435.22</v>
      </c>
      <c r="E9" s="10" t="n">
        <v>4140640.56</v>
      </c>
      <c r="F9" s="10" t="n">
        <v>3984282.17</v>
      </c>
      <c r="G9" s="10" t="n">
        <v>3882320.66</v>
      </c>
      <c r="H9" s="10" t="n">
        <v>4019327.57</v>
      </c>
      <c r="I9" s="10" t="n">
        <v>4024519.28</v>
      </c>
      <c r="J9" s="10" t="n">
        <v>3984425.19</v>
      </c>
      <c r="K9" s="10" t="n">
        <v>4107518.69</v>
      </c>
      <c r="L9" s="10" t="n">
        <v>4277319.15</v>
      </c>
      <c r="M9" s="10" t="n">
        <v>4150632.6</v>
      </c>
      <c r="N9" s="10" t="n">
        <v>3909554.2</v>
      </c>
      <c r="O9" s="10" t="n">
        <v>3665995.12</v>
      </c>
      <c r="P9" s="10" t="n">
        <v>3439153.24</v>
      </c>
      <c r="Q9" s="10" t="n">
        <v>3334678.12</v>
      </c>
      <c r="R9" s="10" t="n">
        <v>3379049.39</v>
      </c>
      <c r="S9" s="10" t="n">
        <v>3475511.26</v>
      </c>
      <c r="T9" s="10">
        <f>MIN(B9:S9)</f>
        <v/>
      </c>
    </row>
    <row r="10">
      <c r="A10" t="inlineStr">
        <is>
          <t>Upside, brand renewed</t>
        </is>
      </c>
      <c r="B10" s="10" t="n">
        <v>5402627.9</v>
      </c>
      <c r="C10" s="10" t="n">
        <v>5459119.47</v>
      </c>
      <c r="D10" s="10" t="n">
        <v>5542936.37</v>
      </c>
      <c r="E10" s="10" t="n">
        <v>5063119.54</v>
      </c>
      <c r="F10" s="10" t="n">
        <v>5230030.18</v>
      </c>
      <c r="G10" s="10" t="n">
        <v>5465904.22</v>
      </c>
      <c r="H10" s="10" t="n">
        <v>5671723.51</v>
      </c>
      <c r="I10" s="10" t="n">
        <v>5982452.8</v>
      </c>
      <c r="J10" s="10" t="n">
        <v>6235695.46</v>
      </c>
      <c r="K10" s="10" t="n">
        <v>6429754</v>
      </c>
      <c r="L10" s="10" t="n">
        <v>6974469.18</v>
      </c>
      <c r="M10" s="10" t="n">
        <v>7132797.47</v>
      </c>
      <c r="N10" s="10" t="n">
        <v>5721074.06</v>
      </c>
      <c r="O10" s="10" t="n">
        <v>5867390.25</v>
      </c>
      <c r="P10" s="10" t="n">
        <v>6053624.03</v>
      </c>
      <c r="Q10" s="10" t="n">
        <v>6155703.07</v>
      </c>
      <c r="R10" s="10" t="n">
        <v>6776951.09</v>
      </c>
      <c r="S10" s="10" t="n">
        <v>7478029.8</v>
      </c>
      <c r="T10" s="10">
        <f>MIN(B10:S10)</f>
        <v/>
      </c>
    </row>
    <row r="11">
      <c r="A11" t="inlineStr">
        <is>
          <t>Upside, brand lost</t>
        </is>
      </c>
      <c r="B11" s="10" t="n">
        <v>5402627.9</v>
      </c>
      <c r="C11" s="10" t="n">
        <v>5459119.47</v>
      </c>
      <c r="D11" s="10" t="n">
        <v>5542936.37</v>
      </c>
      <c r="E11" s="10" t="n">
        <v>5063119.54</v>
      </c>
      <c r="F11" s="10" t="n">
        <v>5230030.18</v>
      </c>
      <c r="G11" s="10" t="n">
        <v>5465904.22</v>
      </c>
      <c r="H11" s="10" t="n">
        <v>5671723.51</v>
      </c>
      <c r="I11" s="10" t="n">
        <v>5982452.8</v>
      </c>
      <c r="J11" s="10" t="n">
        <v>6235695.46</v>
      </c>
      <c r="K11" s="10" t="n">
        <v>6429754</v>
      </c>
      <c r="L11" s="10" t="n">
        <v>6974469.18</v>
      </c>
      <c r="M11" s="10" t="n">
        <v>7126337.07</v>
      </c>
      <c r="N11" s="10" t="n">
        <v>6957076.53</v>
      </c>
      <c r="O11" s="10" t="n">
        <v>7095855.59</v>
      </c>
      <c r="P11" s="10" t="n">
        <v>7273475.5</v>
      </c>
      <c r="Q11" s="10" t="n">
        <v>7364787.21</v>
      </c>
      <c r="R11" s="10" t="n">
        <v>7974191.18</v>
      </c>
      <c r="S11" s="10" t="n">
        <v>8663425.82</v>
      </c>
      <c r="T11" s="10">
        <f>MIN(B11:S11)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2026-10-04T21:03:47Z</dcterms:created>
  <dcterms:modified xmlns:dcterms="http://purl.org/dc/terms/" xmlns:xsi="http://www.w3.org/2001/XMLSchema-instance" xsi:type="dcterms:W3CDTF">2026-10-04T21:03:47Z</dcterms:modified>
</cp:coreProperties>
</file>