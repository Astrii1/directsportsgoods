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Actuals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Options" sheetId="6" state="visible" r:id="rId6"/>
  </sheets>
  <definedNames>
    <definedName name="web_growth">Inputs!$E$6</definedName>
    <definedName name="mkt_growth">Inputs!$E$7</definedName>
    <definedName name="aov">Inputs!$E$8</definedName>
    <definedName name="returns_pp">Inputs!$E$9</definedName>
    <definedName name="gm_pp">Inputs!$E$10</definedName>
    <definedName name="carrier">Inputs!$E$11</definedName>
    <definedName name="productivity">Inputs!$E$12</definedName>
    <definedName name="pay_rise">Inputs!$E$13</definedName>
    <definedName name="nlw_2027">Inputs!$E$14</definedName>
    <definedName name="overheads">Inputs!$E$15</definedName>
    <definedName name="delivery_rate">Inputs!$B$18</definedName>
    <definedName name="mkt_ratio">Inputs!$B$19</definedName>
    <definedName name="fee_rate">Inputs!$B$20</definedName>
    <definedName name="orders_per_hour">Inputs!$B$21</definedName>
    <definedName name="oncost">Inputs!$B$22</definedName>
    <definedName name="nlw_2025">Inputs!$B$23</definedName>
    <definedName name="nlw_2026">Inputs!$B$24</definedName>
    <definedName name="salaried_month">Inputs!$B$25</definedName>
    <definedName name="inv_days">Inputs!$B$26</definedName>
    <definedName name="pay_days">Inputs!$B$27</definedName>
    <definedName name="capex_m">Inputs!$B$28</definedName>
    <definedName name="dep_m">Inputs!$B$29</definedName>
    <definedName name="tax_rate">Inputs!$B$30</definedName>
    <definedName name="fy26_profit">Inputs!$B$31</definedName>
    <definedName name="large_threshold">Inputs!$B$32</definedName>
    <definedName name="cash_open">Inputs!$B$33</definedName>
    <definedName name="quote">Inputs!$B$36</definedName>
    <definedName name="switch_cost">Inputs!$B$37</definedName>
    <definedName name="charge_exvat">Inputs!$B$38</definedName>
    <definedName name="affected">Inputs!$B$39</definedName>
    <definedName name="loss">Inputs!$B$40</definedName>
    <definedName name="price_rise">Inputs!$B$41</definedName>
    <definedName name="volume_loss">Inputs!$B$42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+0.0%;-0.0%;0.0%"/>
    <numFmt numFmtId="165" formatCode="£0.00"/>
    <numFmt numFmtId="166" formatCode="0.0%"/>
    <numFmt numFmtId="167" formatCode="£#,##0"/>
    <numFmt numFmtId="168" formatCode="yyyy-mm-dd"/>
    <numFmt numFmtId="169" formatCode="#,##0,"/>
    <numFmt numFmtId="170" formatCode="#,##0,;(#,##0,);&quot;-&quot;"/>
    <numFmt numFmtId="171" formatCode="0.0%;-0.0%;&quot;-&quot;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7F7F"/>
      <sz val="9"/>
    </font>
    <font>
      <b val="1"/>
      <color rgb="000000FF"/>
    </font>
    <font>
      <b val="1"/>
      <color rgb="00FFFFFF"/>
    </font>
    <font>
      <color rgb="000000FF"/>
    </font>
    <font>
      <b val="1"/>
    </font>
    <font>
      <b val="1"/>
      <color rgb="001F3864"/>
    </font>
    <font>
      <i val="1"/>
      <color rgb="007F7F7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170" fontId="0" fillId="0" borderId="0" pivotButton="0" quotePrefix="0" xfId="0"/>
    <xf numFmtId="0" fontId="3" fillId="2" borderId="0" pivotButton="0" quotePrefix="0" xfId="0"/>
    <xf numFmtId="164" fontId="5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9" fontId="5" fillId="0" borderId="0" pivotButton="0" quotePrefix="0" xfId="0"/>
    <xf numFmtId="167" fontId="5" fillId="0" borderId="0" pivotButton="0" quotePrefix="0" xfId="0"/>
    <xf numFmtId="1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7" fontId="4" fillId="3" borderId="0" applyAlignment="1" pivotButton="0" quotePrefix="0" xfId="0">
      <alignment horizontal="center"/>
    </xf>
    <xf numFmtId="0" fontId="7" fillId="0" borderId="0" pivotButton="0" quotePrefix="0" xfId="0"/>
    <xf numFmtId="169" fontId="0" fillId="0" borderId="0" pivotButton="0" quotePrefix="0" xfId="0"/>
    <xf numFmtId="165" fontId="0" fillId="0" borderId="0" pivotButton="0" quotePrefix="0" xfId="0"/>
    <xf numFmtId="171" fontId="0" fillId="0" borderId="0" pivotButton="0" quotePrefix="0" xfId="0"/>
    <xf numFmtId="0" fontId="6" fillId="0" borderId="1" pivotButton="0" quotePrefix="0" xfId="0"/>
    <xf numFmtId="170" fontId="6" fillId="0" borderId="1" pivotButton="0" quotePrefix="0" xfId="0"/>
    <xf numFmtId="0" fontId="8" fillId="0" borderId="0" pivotButton="0" quotePrefix="0" xfId="0"/>
    <xf numFmtId="170" fontId="8" fillId="0" borderId="0" pivotButton="0" quotePrefix="0" xfId="0"/>
    <xf numFmtId="170" fontId="6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DirectSportsGoods: rolling 18-month forecast</t>
        </is>
      </c>
    </row>
    <row r="2">
      <c r="A2" s="2" t="inlineStr">
        <is>
          <t>DirectSportsGoods is a fictional company. All figures are made up.</t>
        </is>
      </c>
    </row>
    <row r="4">
      <c r="A4" t="inlineStr">
        <is>
          <t>February 2026 to July 2027, built from FY26 actuals. Pick a scenario on the Inputs sheet (cell C3).</t>
        </is>
      </c>
    </row>
    <row r="5">
      <c r="A5" t="inlineStr"/>
    </row>
    <row r="6">
      <c r="A6" t="inlineStr">
        <is>
          <t>Inputs: scenario drivers, fixed inputs and option assumptions</t>
        </is>
      </c>
    </row>
    <row r="7">
      <c r="A7" t="inlineStr">
        <is>
          <t>Forecast: monthly P&amp;L and cash, all live formulas</t>
        </is>
      </c>
    </row>
    <row r="8">
      <c r="A8" t="inlineStr">
        <is>
          <t>Options: cash impact of the three options in the CFO memo, for the selected scenario</t>
        </is>
      </c>
    </row>
    <row r="9">
      <c r="A9" t="inlineStr">
        <is>
          <t>Summary: all three scenarios side by side (values, rebuilt by src/forecast.py)</t>
        </is>
      </c>
    </row>
    <row r="10">
      <c r="A10" t="inlineStr">
        <is>
          <t>Actuals: FY26 monthly actuals the forecast starts from</t>
        </is>
      </c>
    </row>
    <row r="11">
      <c r="A11" t="inlineStr"/>
    </row>
    <row r="12">
      <c r="A12" t="inlineStr">
        <is>
          <t>Figures are in £k unless stated. Costs show in brackets. Blue cells are inputs.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Scenario summary (£k)</t>
        </is>
      </c>
    </row>
    <row r="2">
      <c r="A2" s="2" t="inlineStr">
        <is>
          <t>DirectSportsGoods is a fictional company. All figures are made up.</t>
        </is>
      </c>
    </row>
    <row r="3">
      <c r="A3" s="2" t="inlineStr">
        <is>
          <t>FY27 runs Feb-26 to Jan-27. Values from src/forecast.py, which runs the same model as the Forecast sheet.</t>
        </is>
      </c>
    </row>
    <row r="5">
      <c r="A5" s="3" t="inlineStr"/>
      <c r="B5" s="4" t="inlineStr">
        <is>
          <t>Base</t>
        </is>
      </c>
      <c r="C5" s="4" t="inlineStr">
        <is>
          <t>Downside</t>
        </is>
      </c>
      <c r="D5" s="4" t="inlineStr">
        <is>
          <t>Upside</t>
        </is>
      </c>
    </row>
    <row r="6">
      <c r="A6" t="inlineStr">
        <is>
          <t>FY27 net revenue</t>
        </is>
      </c>
      <c r="B6" s="5" t="n">
        <v>54309191.1</v>
      </c>
      <c r="C6" s="5" t="n">
        <v>48303775.45</v>
      </c>
      <c r="D6" s="5" t="n">
        <v>59026406.7</v>
      </c>
    </row>
    <row r="7">
      <c r="A7" t="inlineStr">
        <is>
          <t>FY27 EBITDA</t>
        </is>
      </c>
      <c r="B7" s="5" t="n">
        <v>4714611.99</v>
      </c>
      <c r="C7" s="5" t="n">
        <v>2058609.08</v>
      </c>
      <c r="D7" s="5" t="n">
        <v>6472795.49</v>
      </c>
    </row>
    <row r="8">
      <c r="A8" t="inlineStr">
        <is>
          <t>FY27 operating profit</t>
        </is>
      </c>
      <c r="B8" s="5" t="n">
        <v>3994611.99</v>
      </c>
      <c r="C8" s="5" t="n">
        <v>1338609.08</v>
      </c>
      <c r="D8" s="5" t="n">
        <v>5752795.49</v>
      </c>
    </row>
    <row r="9">
      <c r="A9" t="inlineStr">
        <is>
          <t>Cash at 31 Jan 2027</t>
        </is>
      </c>
      <c r="B9" s="5" t="n">
        <v>8913602.619999999</v>
      </c>
      <c r="C9" s="5" t="n">
        <v>7123140.51</v>
      </c>
      <c r="D9" s="5" t="n">
        <v>10152065.34</v>
      </c>
    </row>
    <row r="10">
      <c r="A10" t="inlineStr">
        <is>
          <t>Lowest month-end cash, 18 months</t>
        </is>
      </c>
      <c r="B10" s="5" t="n">
        <v>6163240.79</v>
      </c>
      <c r="C10" s="5" t="n">
        <v>5695083.71</v>
      </c>
      <c r="D10" s="5" t="n">
        <v>6247029.07</v>
      </c>
    </row>
    <row r="11">
      <c r="A11" t="inlineStr">
        <is>
          <t>Cash at 31 Jul 2027</t>
        </is>
      </c>
      <c r="B11" s="5" t="n">
        <v>10032061.63</v>
      </c>
      <c r="C11" s="5" t="n">
        <v>7025983.9</v>
      </c>
      <c r="D11" s="5" t="n">
        <v>12295953.59</v>
      </c>
    </row>
    <row r="12">
      <c r="A12" t="inlineStr">
        <is>
          <t>Option A, 18-month cash impact</t>
        </is>
      </c>
      <c r="B12" s="5" t="n">
        <v>319815.89</v>
      </c>
      <c r="C12" s="5" t="n">
        <v>639640.47</v>
      </c>
      <c r="D12" s="5" t="n">
        <v>362180.81</v>
      </c>
    </row>
    <row r="13">
      <c r="A13" t="inlineStr">
        <is>
          <t>Option B, 18-month cash impact</t>
        </is>
      </c>
      <c r="B13" s="5" t="n">
        <v>18341.86</v>
      </c>
      <c r="C13" s="5" t="n">
        <v>58689.11</v>
      </c>
      <c r="D13" s="5" t="n">
        <v>-7883.33</v>
      </c>
    </row>
    <row r="14">
      <c r="A14" t="inlineStr">
        <is>
          <t>Option C, 18-month cash impact</t>
        </is>
      </c>
      <c r="B14" s="5" t="n">
        <v>745934.64</v>
      </c>
      <c r="C14" s="5" t="n">
        <v>673493.75</v>
      </c>
      <c r="D14" s="5" t="n">
        <v>816259.03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Inputs</t>
        </is>
      </c>
    </row>
    <row r="2">
      <c r="A2" s="2" t="inlineStr">
        <is>
          <t>DirectSportsGoods is a fictional company. All figures are made up.</t>
        </is>
      </c>
    </row>
    <row r="3">
      <c r="A3" s="2" t="inlineStr">
        <is>
          <t>Scenario</t>
        </is>
      </c>
      <c r="C3" s="6" t="inlineStr">
        <is>
          <t>Base</t>
        </is>
      </c>
    </row>
    <row r="5">
      <c r="A5" s="3" t="inlineStr">
        <is>
          <t>Scenario driver</t>
        </is>
      </c>
      <c r="B5" s="4" t="inlineStr">
        <is>
          <t>Base</t>
        </is>
      </c>
      <c r="C5" s="4" t="inlineStr">
        <is>
          <t>Downside</t>
        </is>
      </c>
      <c r="D5" s="4" t="inlineStr">
        <is>
          <t>Upside</t>
        </is>
      </c>
      <c r="E5" s="4" t="inlineStr">
        <is>
          <t>Live</t>
        </is>
      </c>
    </row>
    <row r="6">
      <c r="A6" t="inlineStr">
        <is>
          <t>Website orders vs same month last year</t>
        </is>
      </c>
      <c r="B6" s="7" t="n">
        <v>0.05</v>
      </c>
      <c r="C6" s="7" t="n">
        <v>-0.03</v>
      </c>
      <c r="D6" s="7" t="n">
        <v>0.1</v>
      </c>
      <c r="E6" s="8">
        <f>INDEX(B6:D6,MATCH($C$3,$B$5:$D$5,0))</f>
        <v/>
      </c>
    </row>
    <row r="7">
      <c r="A7" t="inlineStr">
        <is>
          <t>Marketplace orders vs same month last year</t>
        </is>
      </c>
      <c r="B7" s="7" t="n">
        <v>0.15</v>
      </c>
      <c r="C7" s="7" t="n">
        <v>0.05</v>
      </c>
      <c r="D7" s="7" t="n">
        <v>0.25</v>
      </c>
      <c r="E7" s="8">
        <f>INDEX(B7:D7,MATCH($C$3,$B$5:$D$5,0))</f>
        <v/>
      </c>
    </row>
    <row r="8">
      <c r="A8" t="inlineStr">
        <is>
          <t>Average order value vs last year</t>
        </is>
      </c>
      <c r="B8" s="7" t="n">
        <v>0.02</v>
      </c>
      <c r="C8" s="7" t="n">
        <v>0</v>
      </c>
      <c r="D8" s="7" t="n">
        <v>0.03</v>
      </c>
      <c r="E8" s="8">
        <f>INDEX(B8:D8,MATCH($C$3,$B$5:$D$5,0))</f>
        <v/>
      </c>
    </row>
    <row r="9">
      <c r="A9" t="inlineStr">
        <is>
          <t>Returns rate change (points)</t>
        </is>
      </c>
      <c r="B9" s="7" t="n">
        <v>0</v>
      </c>
      <c r="C9" s="7" t="n">
        <v>0.01</v>
      </c>
      <c r="D9" s="7" t="n">
        <v>-0.01</v>
      </c>
      <c r="E9" s="8">
        <f>INDEX(B9:D9,MATCH($C$3,$B$5:$D$5,0))</f>
        <v/>
      </c>
    </row>
    <row r="10">
      <c r="A10" t="inlineStr">
        <is>
          <t>Gross margin change (points)</t>
        </is>
      </c>
      <c r="B10" s="7" t="n">
        <v>0</v>
      </c>
      <c r="C10" s="7" t="n">
        <v>-0.01</v>
      </c>
      <c r="D10" s="7" t="n">
        <v>0.005</v>
      </c>
      <c r="E10" s="8">
        <f>INDEX(B10:D10,MATCH($C$3,$B$5:$D$5,0))</f>
        <v/>
      </c>
    </row>
    <row r="11">
      <c r="A11" t="inlineStr">
        <is>
          <t>Carrier rate change from today</t>
        </is>
      </c>
      <c r="B11" s="7" t="n">
        <v>0</v>
      </c>
      <c r="C11" s="7" t="n">
        <v>0.05</v>
      </c>
      <c r="D11" s="7" t="n">
        <v>0</v>
      </c>
      <c r="E11" s="8">
        <f>INDEX(B11:D11,MATCH($C$3,$B$5:$D$5,0))</f>
        <v/>
      </c>
    </row>
    <row r="12">
      <c r="A12" t="inlineStr">
        <is>
          <t>Warehouse orders per hour change</t>
        </is>
      </c>
      <c r="B12" s="7" t="n">
        <v>0</v>
      </c>
      <c r="C12" s="7" t="n">
        <v>-0.05</v>
      </c>
      <c r="D12" s="7" t="n">
        <v>0.05</v>
      </c>
      <c r="E12" s="8">
        <f>INDEX(B12:D12,MATCH($C$3,$B$5:$D$5,0))</f>
        <v/>
      </c>
    </row>
    <row r="13">
      <c r="A13" t="inlineStr">
        <is>
          <t>Salaried pay rise each April</t>
        </is>
      </c>
      <c r="B13" s="7" t="n">
        <v>0.03</v>
      </c>
      <c r="C13" s="7" t="n">
        <v>0.04</v>
      </c>
      <c r="D13" s="7" t="n">
        <v>0.03</v>
      </c>
      <c r="E13" s="8">
        <f>INDEX(B13:D13,MATCH($C$3,$B$5:$D$5,0))</f>
        <v/>
      </c>
    </row>
    <row r="14">
      <c r="A14" t="inlineStr">
        <is>
          <t>National Living Wage rise, April 2027</t>
        </is>
      </c>
      <c r="B14" s="7" t="n">
        <v>0.03</v>
      </c>
      <c r="C14" s="7" t="n">
        <v>0.04</v>
      </c>
      <c r="D14" s="7" t="n">
        <v>0.03</v>
      </c>
      <c r="E14" s="8">
        <f>INDEX(B14:D14,MATCH($C$3,$B$5:$D$5,0))</f>
        <v/>
      </c>
    </row>
    <row r="15">
      <c r="A15" t="inlineStr">
        <is>
          <t>Overhead inflation</t>
        </is>
      </c>
      <c r="B15" s="7" t="n">
        <v>0.03</v>
      </c>
      <c r="C15" s="7" t="n">
        <v>0.04</v>
      </c>
      <c r="D15" s="7" t="n">
        <v>0.02</v>
      </c>
      <c r="E15" s="8">
        <f>INDEX(B15:D15,MATCH($C$3,$B$5:$D$5,0))</f>
        <v/>
      </c>
    </row>
    <row r="17">
      <c r="A17" s="3" t="inlineStr">
        <is>
          <t>Fixed input</t>
        </is>
      </c>
      <c r="B17" s="4" t="inlineStr">
        <is>
          <t>Value</t>
        </is>
      </c>
      <c r="C17" s="4" t="inlineStr">
        <is>
          <t>Source</t>
        </is>
      </c>
      <c r="D17" s="4" t="inlineStr"/>
      <c r="E17" s="4" t="inlineStr"/>
    </row>
    <row r="18">
      <c r="A18" t="inlineStr">
        <is>
          <t>Delivery cost per order today (Sep-25 to Jan-26 average)</t>
        </is>
      </c>
      <c r="B18" s="9" t="n">
        <v>4.7166</v>
      </c>
      <c r="C18" t="inlineStr">
        <is>
          <t>Derived from FY26 actuals</t>
        </is>
      </c>
    </row>
    <row r="19">
      <c r="A19" t="inlineStr">
        <is>
          <t>Marketing % of website net revenue</t>
        </is>
      </c>
      <c r="B19" s="10" t="n">
        <v>0.0712</v>
      </c>
      <c r="C19" t="inlineStr">
        <is>
          <t>FY26 actual</t>
        </is>
      </c>
    </row>
    <row r="20">
      <c r="A20" t="inlineStr">
        <is>
          <t>Marketplace fees % of net revenue</t>
        </is>
      </c>
      <c r="B20" s="10" t="n">
        <v>0.15</v>
      </c>
      <c r="C20" t="inlineStr">
        <is>
          <t>Amazon UK seller fees, Sports and Outdoors</t>
        </is>
      </c>
    </row>
    <row r="21">
      <c r="A21" t="inlineStr">
        <is>
          <t>Warehouse orders per labour hour</t>
        </is>
      </c>
      <c r="B21" s="11" t="n">
        <v>5.504</v>
      </c>
      <c r="C21" t="inlineStr">
        <is>
          <t>Derived: FY26 orders / warehouse hours (45% of payroll at NLW)</t>
        </is>
      </c>
    </row>
    <row r="22">
      <c r="A22" t="inlineStr">
        <is>
          <t>Employer NI and pension on pay</t>
        </is>
      </c>
      <c r="B22" s="12" t="n">
        <v>0.12</v>
      </c>
      <c r="C22" t="inlineStr">
        <is>
          <t>Company assumption, as in the P2 payroll data</t>
        </is>
      </c>
    </row>
    <row r="23">
      <c r="A23" t="inlineStr">
        <is>
          <t>National Living Wage from April 2025</t>
        </is>
      </c>
      <c r="B23" s="9" t="n">
        <v>12.21</v>
      </c>
      <c r="C23" t="inlineStr">
        <is>
          <t>gov.uk national minimum wage rates</t>
        </is>
      </c>
    </row>
    <row r="24">
      <c r="A24" t="inlineStr">
        <is>
          <t>National Living Wage from April 2026</t>
        </is>
      </c>
      <c r="B24" s="9" t="n">
        <v>12.71</v>
      </c>
      <c r="C24" t="inlineStr">
        <is>
          <t>gov.uk national minimum wage rates</t>
        </is>
      </c>
    </row>
    <row r="25">
      <c r="A25" t="inlineStr">
        <is>
          <t>Salaried payroll per month, FY26 average</t>
        </is>
      </c>
      <c r="B25" s="13" t="n">
        <v>311238.48</v>
      </c>
      <c r="C25" t="inlineStr">
        <is>
          <t>FY26 actual (55% of payroll)</t>
        </is>
      </c>
    </row>
    <row r="26">
      <c r="A26" t="inlineStr">
        <is>
          <t>Inventory days</t>
        </is>
      </c>
      <c r="B26" s="14" t="n">
        <v>172</v>
      </c>
      <c r="C26" t="inlineStr">
        <is>
          <t>Frasers AR 2026</t>
        </is>
      </c>
    </row>
    <row r="27">
      <c r="A27" t="inlineStr">
        <is>
          <t>Trade and other payables days</t>
        </is>
      </c>
      <c r="B27" s="14" t="n">
        <v>118</v>
      </c>
      <c r="C27" t="inlineStr">
        <is>
          <t>Frasers AR 2026</t>
        </is>
      </c>
    </row>
    <row r="28">
      <c r="A28" t="inlineStr">
        <is>
          <t>Capital expenditure per month</t>
        </is>
      </c>
      <c r="B28" s="13" t="n">
        <v>70000</v>
      </c>
      <c r="C28" t="inlineStr">
        <is>
          <t>Company assumption</t>
        </is>
      </c>
    </row>
    <row r="29">
      <c r="A29" t="inlineStr">
        <is>
          <t>Depreciation per month</t>
        </is>
      </c>
      <c r="B29" s="13" t="n">
        <v>60000</v>
      </c>
      <c r="C29" t="inlineStr">
        <is>
          <t>Company assumption</t>
        </is>
      </c>
    </row>
    <row r="30">
      <c r="A30" t="inlineStr">
        <is>
          <t>Corporation tax rate</t>
        </is>
      </c>
      <c r="B30" s="12" t="n">
        <v>0.25</v>
      </c>
      <c r="C30" t="inlineStr">
        <is>
          <t>HMRC main rate</t>
        </is>
      </c>
    </row>
    <row r="31">
      <c r="A31" t="inlineStr">
        <is>
          <t>FY26 operating profit (last two tax instalments due Feb-26 and May-26)</t>
        </is>
      </c>
      <c r="B31" s="13" t="n">
        <v>3457287.76</v>
      </c>
      <c r="C31" t="inlineStr">
        <is>
          <t>P1 pack</t>
        </is>
      </c>
    </row>
    <row r="32">
      <c r="A32" t="inlineStr">
        <is>
          <t>Profit above which tax is paid in quarterly instalments</t>
        </is>
      </c>
      <c r="B32" s="13" t="n">
        <v>1500000</v>
      </c>
      <c r="C32" t="inlineStr">
        <is>
          <t>gov.uk, Corporation Tax: paying in instalments</t>
        </is>
      </c>
    </row>
    <row r="33">
      <c r="A33" t="inlineStr">
        <is>
          <t>Cash at 31 January 2026</t>
        </is>
      </c>
      <c r="B33" s="13" t="n">
        <v>6346305.21</v>
      </c>
      <c r="C33" t="inlineStr">
        <is>
          <t>P1 pack, Cash page</t>
        </is>
      </c>
    </row>
    <row r="35">
      <c r="A35" s="3" t="inlineStr">
        <is>
          <t>Option assumption</t>
        </is>
      </c>
      <c r="B35" s="4" t="inlineStr">
        <is>
          <t>Value</t>
        </is>
      </c>
      <c r="C35" s="4" t="inlineStr">
        <is>
          <t>Source</t>
        </is>
      </c>
      <c r="D35" s="4" t="inlineStr"/>
      <c r="E35" s="4" t="inlineStr"/>
    </row>
    <row r="36">
      <c r="A36" t="inlineStr">
        <is>
          <t>Option A: second carrier's quoted rate per order</t>
        </is>
      </c>
      <c r="B36" s="9" t="n">
        <v>4.45</v>
      </c>
      <c r="C36" t="inlineStr">
        <is>
          <t>Fictional quote or company assumption</t>
        </is>
      </c>
    </row>
    <row r="37">
      <c r="A37" t="inlineStr">
        <is>
          <t>Option A: one-off cost to switch carrier</t>
        </is>
      </c>
      <c r="B37" s="13" t="n">
        <v>150000</v>
      </c>
      <c r="C37" t="inlineStr">
        <is>
          <t>Fictional quote or company assumption</t>
        </is>
      </c>
    </row>
    <row r="38">
      <c r="A38" t="inlineStr">
        <is>
          <t>Option B: delivery charge per order, ex VAT (£1.99 inc VAT)</t>
        </is>
      </c>
      <c r="B38" s="9" t="n">
        <v>1.6583</v>
      </c>
      <c r="C38" t="inlineStr">
        <is>
          <t>Fictional quote or company assumption</t>
        </is>
      </c>
    </row>
    <row r="39">
      <c r="A39" t="inlineStr">
        <is>
          <t>Option B: share of website orders below the free-delivery threshold</t>
        </is>
      </c>
      <c r="B39" s="12" t="n">
        <v>0.35</v>
      </c>
      <c r="C39" t="inlineStr">
        <is>
          <t>Fictional quote or company assumption</t>
        </is>
      </c>
    </row>
    <row r="40">
      <c r="A40" t="inlineStr">
        <is>
          <t>Option B: share of those orders lost to the charge</t>
        </is>
      </c>
      <c r="B40" s="12" t="n">
        <v>0.08</v>
      </c>
      <c r="C40" t="inlineStr">
        <is>
          <t>Fictional quote or company assumption</t>
        </is>
      </c>
    </row>
    <row r="41">
      <c r="A41" t="inlineStr">
        <is>
          <t>Option C: price rise, both channels</t>
        </is>
      </c>
      <c r="B41" s="10" t="n">
        <v>0.02</v>
      </c>
      <c r="C41" t="inlineStr">
        <is>
          <t>Fictional quote or company assumption</t>
        </is>
      </c>
    </row>
    <row r="42">
      <c r="A42" t="inlineStr">
        <is>
          <t>Option C: orders lost to the price rise</t>
        </is>
      </c>
      <c r="B42" s="10" t="n">
        <v>0.025</v>
      </c>
      <c r="C42" t="inlineStr">
        <is>
          <t>Fictional quote or company assumption</t>
        </is>
      </c>
    </row>
  </sheetData>
  <dataValidations count="1">
    <dataValidation sqref="C3" showDropDown="0" showInputMessage="0" showErrorMessage="0" allowBlank="0" type="list">
      <formula1>"Base,Downside,Upside"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FY26 actuals (£)</t>
        </is>
      </c>
    </row>
    <row r="2">
      <c r="A2" s="2" t="inlineStr">
        <is>
          <t>DirectSportsGoods is a fictional company. All figures are made up.</t>
        </is>
      </c>
    </row>
    <row r="3">
      <c r="A3" s="2" t="inlineStr">
        <is>
          <t>From the P1 pack. The P2 close reproduces these figures from the ledger.</t>
        </is>
      </c>
    </row>
    <row r="5">
      <c r="A5" s="3" t="inlineStr"/>
      <c r="B5" s="4" t="inlineStr">
        <is>
          <t>Feb-25</t>
        </is>
      </c>
      <c r="C5" s="4" t="inlineStr">
        <is>
          <t>Mar-25</t>
        </is>
      </c>
      <c r="D5" s="4" t="inlineStr">
        <is>
          <t>Apr-25</t>
        </is>
      </c>
      <c r="E5" s="4" t="inlineStr">
        <is>
          <t>May-25</t>
        </is>
      </c>
      <c r="F5" s="4" t="inlineStr">
        <is>
          <t>Jun-25</t>
        </is>
      </c>
      <c r="G5" s="4" t="inlineStr">
        <is>
          <t>Jul-25</t>
        </is>
      </c>
      <c r="H5" s="4" t="inlineStr">
        <is>
          <t>Aug-25</t>
        </is>
      </c>
      <c r="I5" s="4" t="inlineStr">
        <is>
          <t>Sep-25</t>
        </is>
      </c>
      <c r="J5" s="4" t="inlineStr">
        <is>
          <t>Oct-25</t>
        </is>
      </c>
      <c r="K5" s="4" t="inlineStr">
        <is>
          <t>Nov-25</t>
        </is>
      </c>
      <c r="L5" s="4" t="inlineStr">
        <is>
          <t>Dec-25</t>
        </is>
      </c>
      <c r="M5" s="4" t="inlineStr">
        <is>
          <t>Jan-26</t>
        </is>
      </c>
    </row>
    <row r="6">
      <c r="A6" t="inlineStr">
        <is>
          <t>Website orders</t>
        </is>
      </c>
      <c r="B6" s="15" t="n">
        <v>43576.42</v>
      </c>
      <c r="C6" s="15" t="n">
        <v>48025.5</v>
      </c>
      <c r="D6" s="15" t="n">
        <v>49564.72</v>
      </c>
      <c r="E6" s="15" t="n">
        <v>57184.42</v>
      </c>
      <c r="F6" s="15" t="n">
        <v>68776.58</v>
      </c>
      <c r="G6" s="15" t="n">
        <v>66980.52</v>
      </c>
      <c r="H6" s="15" t="n">
        <v>71982.81</v>
      </c>
      <c r="I6" s="15" t="n">
        <v>62419.42</v>
      </c>
      <c r="J6" s="15" t="n">
        <v>56313.68</v>
      </c>
      <c r="K6" s="15" t="n">
        <v>70380.44</v>
      </c>
      <c r="L6" s="15" t="n">
        <v>74863.60000000001</v>
      </c>
      <c r="M6" s="15" t="n">
        <v>65732.5</v>
      </c>
    </row>
    <row r="7">
      <c r="A7" t="inlineStr">
        <is>
          <t>Website gross sales</t>
        </is>
      </c>
      <c r="B7" s="15" t="n">
        <v>2723464.05</v>
      </c>
      <c r="C7" s="15" t="n">
        <v>2955062.48</v>
      </c>
      <c r="D7" s="15" t="n">
        <v>3032172.75</v>
      </c>
      <c r="E7" s="15" t="n">
        <v>3565687.46</v>
      </c>
      <c r="F7" s="15" t="n">
        <v>4251791.35</v>
      </c>
      <c r="G7" s="15" t="n">
        <v>4197492.62</v>
      </c>
      <c r="H7" s="15" t="n">
        <v>4458264.29</v>
      </c>
      <c r="I7" s="15" t="n">
        <v>3846684.66</v>
      </c>
      <c r="J7" s="15" t="n">
        <v>3495832.96</v>
      </c>
      <c r="K7" s="15" t="n">
        <v>4362471.26</v>
      </c>
      <c r="L7" s="15" t="n">
        <v>4627449.12</v>
      </c>
      <c r="M7" s="15" t="n">
        <v>4037830.69</v>
      </c>
    </row>
    <row r="8">
      <c r="A8" t="inlineStr">
        <is>
          <t>Website returns</t>
        </is>
      </c>
      <c r="B8" s="15" t="n">
        <v>741088.37</v>
      </c>
      <c r="C8" s="15" t="n">
        <v>837202.52</v>
      </c>
      <c r="D8" s="15" t="n">
        <v>856395.24</v>
      </c>
      <c r="E8" s="15" t="n">
        <v>994871.73</v>
      </c>
      <c r="F8" s="15" t="n">
        <v>1227833.59</v>
      </c>
      <c r="G8" s="15" t="n">
        <v>1177621.8</v>
      </c>
      <c r="H8" s="15" t="n">
        <v>1252071.94</v>
      </c>
      <c r="I8" s="15" t="n">
        <v>1101769.72</v>
      </c>
      <c r="J8" s="15" t="n">
        <v>984834.62</v>
      </c>
      <c r="K8" s="15" t="n">
        <v>1232044.04</v>
      </c>
      <c r="L8" s="15" t="n">
        <v>1286194.97</v>
      </c>
      <c r="M8" s="15" t="n">
        <v>1116770.83</v>
      </c>
    </row>
    <row r="9">
      <c r="A9" t="inlineStr">
        <is>
          <t>Website cost of goods sold</t>
        </is>
      </c>
      <c r="B9" s="15" t="n">
        <v>970548.6800000001</v>
      </c>
      <c r="C9" s="15" t="n">
        <v>1046072.78</v>
      </c>
      <c r="D9" s="15" t="n">
        <v>1051967.37</v>
      </c>
      <c r="E9" s="15" t="n">
        <v>1271370.64</v>
      </c>
      <c r="F9" s="15" t="n">
        <v>1524153.76</v>
      </c>
      <c r="G9" s="15" t="n">
        <v>1463823.64</v>
      </c>
      <c r="H9" s="15" t="n">
        <v>1579652.75</v>
      </c>
      <c r="I9" s="15" t="n">
        <v>1333547.01</v>
      </c>
      <c r="J9" s="15" t="n">
        <v>1217410.59</v>
      </c>
      <c r="K9" s="15" t="n">
        <v>1524282</v>
      </c>
      <c r="L9" s="15" t="n">
        <v>1644341.53</v>
      </c>
      <c r="M9" s="15" t="n">
        <v>1541713.47</v>
      </c>
    </row>
    <row r="10">
      <c r="A10" t="inlineStr">
        <is>
          <t>Marketplace orders</t>
        </is>
      </c>
      <c r="B10" s="15" t="n">
        <v>24154.9</v>
      </c>
      <c r="C10" s="15" t="n">
        <v>27451.68</v>
      </c>
      <c r="D10" s="15" t="n">
        <v>28597.8</v>
      </c>
      <c r="E10" s="15" t="n">
        <v>35553.38</v>
      </c>
      <c r="F10" s="15" t="n">
        <v>46968.2</v>
      </c>
      <c r="G10" s="15" t="n">
        <v>48027.49</v>
      </c>
      <c r="H10" s="15" t="n">
        <v>49907.29</v>
      </c>
      <c r="I10" s="15" t="n">
        <v>43600.85</v>
      </c>
      <c r="J10" s="15" t="n">
        <v>43988.28</v>
      </c>
      <c r="K10" s="15" t="n">
        <v>53121.82</v>
      </c>
      <c r="L10" s="15" t="n">
        <v>58604.42</v>
      </c>
      <c r="M10" s="15" t="n">
        <v>47018.55</v>
      </c>
    </row>
    <row r="11">
      <c r="A11" t="inlineStr">
        <is>
          <t>Marketplace gross sales</t>
        </is>
      </c>
      <c r="B11" s="15" t="n">
        <v>1083032.5</v>
      </c>
      <c r="C11" s="15" t="n">
        <v>1238719.1</v>
      </c>
      <c r="D11" s="15" t="n">
        <v>1272506.58</v>
      </c>
      <c r="E11" s="15" t="n">
        <v>1618311.62</v>
      </c>
      <c r="F11" s="15" t="n">
        <v>2091624.39</v>
      </c>
      <c r="G11" s="15" t="n">
        <v>2135860.02</v>
      </c>
      <c r="H11" s="15" t="n">
        <v>2246897.58</v>
      </c>
      <c r="I11" s="15" t="n">
        <v>1973374.12</v>
      </c>
      <c r="J11" s="15" t="n">
        <v>1997008.28</v>
      </c>
      <c r="K11" s="15" t="n">
        <v>2360882.2</v>
      </c>
      <c r="L11" s="15" t="n">
        <v>2627702.75</v>
      </c>
      <c r="M11" s="15" t="n">
        <v>2104630.74</v>
      </c>
    </row>
    <row r="12">
      <c r="A12" t="inlineStr">
        <is>
          <t>Marketplace returns</t>
        </is>
      </c>
      <c r="B12" s="15" t="n">
        <v>303171.92</v>
      </c>
      <c r="C12" s="15" t="n">
        <v>344597.39</v>
      </c>
      <c r="D12" s="15" t="n">
        <v>351371.55</v>
      </c>
      <c r="E12" s="15" t="n">
        <v>441265.18</v>
      </c>
      <c r="F12" s="15" t="n">
        <v>580353.22</v>
      </c>
      <c r="G12" s="15" t="n">
        <v>575830.62</v>
      </c>
      <c r="H12" s="15" t="n">
        <v>632262.14</v>
      </c>
      <c r="I12" s="15" t="n">
        <v>556694.83</v>
      </c>
      <c r="J12" s="15" t="n">
        <v>563345.33</v>
      </c>
      <c r="K12" s="15" t="n">
        <v>671535.79</v>
      </c>
      <c r="L12" s="15" t="n">
        <v>739707.63</v>
      </c>
      <c r="M12" s="15" t="n">
        <v>589087.79</v>
      </c>
    </row>
    <row r="13">
      <c r="A13" t="inlineStr">
        <is>
          <t>Marketplace cost of goods sold</t>
        </is>
      </c>
      <c r="B13" s="15" t="n">
        <v>383693.81</v>
      </c>
      <c r="C13" s="15" t="n">
        <v>436006.19</v>
      </c>
      <c r="D13" s="15" t="n">
        <v>449272</v>
      </c>
      <c r="E13" s="15" t="n">
        <v>576198.6800000001</v>
      </c>
      <c r="F13" s="15" t="n">
        <v>726695.6899999999</v>
      </c>
      <c r="G13" s="15" t="n">
        <v>758138.73</v>
      </c>
      <c r="H13" s="15" t="n">
        <v>782010.26</v>
      </c>
      <c r="I13" s="15" t="n">
        <v>692745.85</v>
      </c>
      <c r="J13" s="15" t="n">
        <v>693072.76</v>
      </c>
      <c r="K13" s="15" t="n">
        <v>821248.35</v>
      </c>
      <c r="L13" s="15" t="n">
        <v>927224.89</v>
      </c>
      <c r="M13" s="15" t="n">
        <v>801797.74</v>
      </c>
    </row>
    <row r="14">
      <c r="A14" t="inlineStr">
        <is>
          <t>Payroll</t>
        </is>
      </c>
      <c r="B14" s="15" t="n">
        <v>531032.89</v>
      </c>
      <c r="C14" s="15" t="n">
        <v>522471.9</v>
      </c>
      <c r="D14" s="15" t="n">
        <v>537186.84</v>
      </c>
      <c r="E14" s="15" t="n">
        <v>567536.5600000001</v>
      </c>
      <c r="F14" s="15" t="n">
        <v>570302.91</v>
      </c>
      <c r="G14" s="15" t="n">
        <v>564102.6899999999</v>
      </c>
      <c r="H14" s="15" t="n">
        <v>581545.21</v>
      </c>
      <c r="I14" s="15" t="n">
        <v>567987.11</v>
      </c>
      <c r="J14" s="15" t="n">
        <v>573208.8100000001</v>
      </c>
      <c r="K14" s="15" t="n">
        <v>602309.34</v>
      </c>
      <c r="L14" s="15" t="n">
        <v>605034.97</v>
      </c>
      <c r="M14" s="15" t="n">
        <v>567938.51</v>
      </c>
    </row>
    <row r="15">
      <c r="A15" t="inlineStr">
        <is>
          <t>Other overheads</t>
        </is>
      </c>
      <c r="B15" s="15" t="n">
        <v>287562.74</v>
      </c>
      <c r="C15" s="15" t="n">
        <v>316370.64</v>
      </c>
      <c r="D15" s="15" t="n">
        <v>314153.42</v>
      </c>
      <c r="E15" s="15" t="n">
        <v>302313.78</v>
      </c>
      <c r="F15" s="15" t="n">
        <v>295207.86</v>
      </c>
      <c r="G15" s="15" t="n">
        <v>309015.12</v>
      </c>
      <c r="H15" s="15" t="n">
        <v>297193.01</v>
      </c>
      <c r="I15" s="15" t="n">
        <v>305420.93</v>
      </c>
      <c r="J15" s="15" t="n">
        <v>314823.14</v>
      </c>
      <c r="K15" s="15" t="n">
        <v>295057.96</v>
      </c>
      <c r="L15" s="15" t="n">
        <v>302347.42</v>
      </c>
      <c r="M15" s="15" t="n">
        <v>293471.88</v>
      </c>
    </row>
    <row r="16">
      <c r="A16" s="16" t="inlineStr">
        <is>
          <t>Cost of goods sold, total</t>
        </is>
      </c>
      <c r="B16" s="15">
        <f>B9+B13</f>
        <v/>
      </c>
      <c r="C16" s="15">
        <f>C9+C13</f>
        <v/>
      </c>
      <c r="D16" s="15">
        <f>D9+D13</f>
        <v/>
      </c>
      <c r="E16" s="15">
        <f>E9+E13</f>
        <v/>
      </c>
      <c r="F16" s="15">
        <f>F9+F13</f>
        <v/>
      </c>
      <c r="G16" s="15">
        <f>G9+G13</f>
        <v/>
      </c>
      <c r="H16" s="15">
        <f>H9+H13</f>
        <v/>
      </c>
      <c r="I16" s="15">
        <f>I9+I13</f>
        <v/>
      </c>
      <c r="J16" s="15">
        <f>J9+J13</f>
        <v/>
      </c>
      <c r="K16" s="15">
        <f>K9+K13</f>
        <v/>
      </c>
      <c r="L16" s="15">
        <f>L9+L13</f>
        <v/>
      </c>
      <c r="M16" s="15">
        <f>M9+M13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</cols>
  <sheetData>
    <row r="1">
      <c r="A1" s="1" t="inlineStr">
        <is>
          <t>Rolling forecast, Feb-26 to Jul-27 (£k)</t>
        </is>
      </c>
    </row>
    <row r="2">
      <c r="A2" s="2" t="inlineStr">
        <is>
          <t>DirectSportsGoods is a fictional company. All figures are made up.</t>
        </is>
      </c>
    </row>
    <row r="3">
      <c r="A3" s="16">
        <f>"Scenario: "&amp;Inputs!$C$3</f>
        <v/>
      </c>
    </row>
    <row r="5">
      <c r="A5" s="3" t="inlineStr"/>
      <c r="B5" s="17" t="n">
        <v>46054</v>
      </c>
      <c r="C5" s="17" t="n">
        <v>46082</v>
      </c>
      <c r="D5" s="17" t="n">
        <v>46113</v>
      </c>
      <c r="E5" s="17" t="n">
        <v>46143</v>
      </c>
      <c r="F5" s="17" t="n">
        <v>46174</v>
      </c>
      <c r="G5" s="17" t="n">
        <v>46204</v>
      </c>
      <c r="H5" s="17" t="n">
        <v>46235</v>
      </c>
      <c r="I5" s="17" t="n">
        <v>46266</v>
      </c>
      <c r="J5" s="17" t="n">
        <v>46296</v>
      </c>
      <c r="K5" s="17" t="n">
        <v>46327</v>
      </c>
      <c r="L5" s="17" t="n">
        <v>46357</v>
      </c>
      <c r="M5" s="17" t="n">
        <v>46388</v>
      </c>
      <c r="N5" s="17" t="n">
        <v>46419</v>
      </c>
      <c r="O5" s="17" t="n">
        <v>46447</v>
      </c>
      <c r="P5" s="17" t="n">
        <v>46478</v>
      </c>
      <c r="Q5" s="17" t="n">
        <v>46508</v>
      </c>
      <c r="R5" s="17" t="n">
        <v>46539</v>
      </c>
      <c r="S5" s="17" t="n">
        <v>46569</v>
      </c>
      <c r="T5" s="4" t="inlineStr">
        <is>
          <t>FY27</t>
        </is>
      </c>
      <c r="U5" s="4" t="inlineStr">
        <is>
          <t>18 months</t>
        </is>
      </c>
    </row>
    <row r="6">
      <c r="A6" s="18" t="inlineStr">
        <is>
          <t>Website</t>
        </is>
      </c>
    </row>
    <row r="7">
      <c r="A7" t="inlineStr">
        <is>
          <t>Orders (000s)</t>
        </is>
      </c>
      <c r="B7" s="19">
        <f>Actuals!B6*(1+web_growth)</f>
        <v/>
      </c>
      <c r="C7" s="19">
        <f>Actuals!C6*(1+web_growth)</f>
        <v/>
      </c>
      <c r="D7" s="19">
        <f>Actuals!D6*(1+web_growth)</f>
        <v/>
      </c>
      <c r="E7" s="19">
        <f>Actuals!E6*(1+web_growth)</f>
        <v/>
      </c>
      <c r="F7" s="19">
        <f>Actuals!F6*(1+web_growth)</f>
        <v/>
      </c>
      <c r="G7" s="19">
        <f>Actuals!G6*(1+web_growth)</f>
        <v/>
      </c>
      <c r="H7" s="19">
        <f>Actuals!H6*(1+web_growth)</f>
        <v/>
      </c>
      <c r="I7" s="19">
        <f>Actuals!I6*(1+web_growth)</f>
        <v/>
      </c>
      <c r="J7" s="19">
        <f>Actuals!J6*(1+web_growth)</f>
        <v/>
      </c>
      <c r="K7" s="19">
        <f>Actuals!K6*(1+web_growth)</f>
        <v/>
      </c>
      <c r="L7" s="19">
        <f>Actuals!L6*(1+web_growth)</f>
        <v/>
      </c>
      <c r="M7" s="19">
        <f>Actuals!M6*(1+web_growth)</f>
        <v/>
      </c>
      <c r="N7" s="19">
        <f>B7*(1+web_growth)</f>
        <v/>
      </c>
      <c r="O7" s="19">
        <f>C7*(1+web_growth)</f>
        <v/>
      </c>
      <c r="P7" s="19">
        <f>D7*(1+web_growth)</f>
        <v/>
      </c>
      <c r="Q7" s="19">
        <f>E7*(1+web_growth)</f>
        <v/>
      </c>
      <c r="R7" s="19">
        <f>F7*(1+web_growth)</f>
        <v/>
      </c>
      <c r="S7" s="19">
        <f>G7*(1+web_growth)</f>
        <v/>
      </c>
      <c r="T7" s="19">
        <f>SUM(B7:M7)</f>
        <v/>
      </c>
      <c r="U7" s="19">
        <f>SUM(B7:S7)</f>
        <v/>
      </c>
    </row>
    <row r="8">
      <c r="A8" t="inlineStr">
        <is>
          <t>Average order value (£)</t>
        </is>
      </c>
      <c r="B8" s="20">
        <f>Actuals!B7/Actuals!B6*(1+aov)</f>
        <v/>
      </c>
      <c r="C8" s="20">
        <f>Actuals!C7/Actuals!C6*(1+aov)</f>
        <v/>
      </c>
      <c r="D8" s="20">
        <f>Actuals!D7/Actuals!D6*(1+aov)</f>
        <v/>
      </c>
      <c r="E8" s="20">
        <f>Actuals!E7/Actuals!E6*(1+aov)</f>
        <v/>
      </c>
      <c r="F8" s="20">
        <f>Actuals!F7/Actuals!F6*(1+aov)</f>
        <v/>
      </c>
      <c r="G8" s="20">
        <f>Actuals!G7/Actuals!G6*(1+aov)</f>
        <v/>
      </c>
      <c r="H8" s="20">
        <f>Actuals!H7/Actuals!H6*(1+aov)</f>
        <v/>
      </c>
      <c r="I8" s="20">
        <f>Actuals!I7/Actuals!I6*(1+aov)</f>
        <v/>
      </c>
      <c r="J8" s="20">
        <f>Actuals!J7/Actuals!J6*(1+aov)</f>
        <v/>
      </c>
      <c r="K8" s="20">
        <f>Actuals!K7/Actuals!K6*(1+aov)</f>
        <v/>
      </c>
      <c r="L8" s="20">
        <f>Actuals!L7/Actuals!L6*(1+aov)</f>
        <v/>
      </c>
      <c r="M8" s="20">
        <f>Actuals!M7/Actuals!M6*(1+aov)</f>
        <v/>
      </c>
      <c r="N8" s="20">
        <f>B8*(1+aov)</f>
        <v/>
      </c>
      <c r="O8" s="20">
        <f>C8*(1+aov)</f>
        <v/>
      </c>
      <c r="P8" s="20">
        <f>D8*(1+aov)</f>
        <v/>
      </c>
      <c r="Q8" s="20">
        <f>E8*(1+aov)</f>
        <v/>
      </c>
      <c r="R8" s="20">
        <f>F8*(1+aov)</f>
        <v/>
      </c>
      <c r="S8" s="20">
        <f>G8*(1+aov)</f>
        <v/>
      </c>
      <c r="T8" s="20" t="n"/>
      <c r="U8" s="20" t="n"/>
    </row>
    <row r="9">
      <c r="A9" t="inlineStr">
        <is>
          <t>Gross sales</t>
        </is>
      </c>
      <c r="B9" s="5">
        <f>B7*B8</f>
        <v/>
      </c>
      <c r="C9" s="5">
        <f>C7*C8</f>
        <v/>
      </c>
      <c r="D9" s="5">
        <f>D7*D8</f>
        <v/>
      </c>
      <c r="E9" s="5">
        <f>E7*E8</f>
        <v/>
      </c>
      <c r="F9" s="5">
        <f>F7*F8</f>
        <v/>
      </c>
      <c r="G9" s="5">
        <f>G7*G8</f>
        <v/>
      </c>
      <c r="H9" s="5">
        <f>H7*H8</f>
        <v/>
      </c>
      <c r="I9" s="5">
        <f>I7*I8</f>
        <v/>
      </c>
      <c r="J9" s="5">
        <f>J7*J8</f>
        <v/>
      </c>
      <c r="K9" s="5">
        <f>K7*K8</f>
        <v/>
      </c>
      <c r="L9" s="5">
        <f>L7*L8</f>
        <v/>
      </c>
      <c r="M9" s="5">
        <f>M7*M8</f>
        <v/>
      </c>
      <c r="N9" s="5">
        <f>N7*N8</f>
        <v/>
      </c>
      <c r="O9" s="5">
        <f>O7*O8</f>
        <v/>
      </c>
      <c r="P9" s="5">
        <f>P7*P8</f>
        <v/>
      </c>
      <c r="Q9" s="5">
        <f>Q7*Q8</f>
        <v/>
      </c>
      <c r="R9" s="5">
        <f>R7*R8</f>
        <v/>
      </c>
      <c r="S9" s="5">
        <f>S7*S8</f>
        <v/>
      </c>
      <c r="T9" s="5">
        <f>SUM(B9:M9)</f>
        <v/>
      </c>
      <c r="U9" s="5">
        <f>SUM(B9:S9)</f>
        <v/>
      </c>
    </row>
    <row r="10">
      <c r="A10" t="inlineStr">
        <is>
          <t>Returns rate</t>
        </is>
      </c>
      <c r="B10" s="21">
        <f>Actuals!B8/Actuals!B7+returns_pp</f>
        <v/>
      </c>
      <c r="C10" s="21">
        <f>Actuals!C8/Actuals!C7+returns_pp</f>
        <v/>
      </c>
      <c r="D10" s="21">
        <f>Actuals!D8/Actuals!D7+returns_pp</f>
        <v/>
      </c>
      <c r="E10" s="21">
        <f>Actuals!E8/Actuals!E7+returns_pp</f>
        <v/>
      </c>
      <c r="F10" s="21">
        <f>Actuals!F8/Actuals!F7+returns_pp</f>
        <v/>
      </c>
      <c r="G10" s="21">
        <f>Actuals!G8/Actuals!G7+returns_pp</f>
        <v/>
      </c>
      <c r="H10" s="21">
        <f>Actuals!H8/Actuals!H7+returns_pp</f>
        <v/>
      </c>
      <c r="I10" s="21">
        <f>Actuals!I8/Actuals!I7+returns_pp</f>
        <v/>
      </c>
      <c r="J10" s="21">
        <f>Actuals!J8/Actuals!J7+returns_pp</f>
        <v/>
      </c>
      <c r="K10" s="21">
        <f>Actuals!K8/Actuals!K7+returns_pp</f>
        <v/>
      </c>
      <c r="L10" s="21">
        <f>Actuals!L8/Actuals!L7+returns_pp</f>
        <v/>
      </c>
      <c r="M10" s="21">
        <f>Actuals!M8/Actuals!M7+returns_pp</f>
        <v/>
      </c>
      <c r="N10" s="21">
        <f>Actuals!B8/Actuals!B7+returns_pp</f>
        <v/>
      </c>
      <c r="O10" s="21">
        <f>Actuals!C8/Actuals!C7+returns_pp</f>
        <v/>
      </c>
      <c r="P10" s="21">
        <f>Actuals!D8/Actuals!D7+returns_pp</f>
        <v/>
      </c>
      <c r="Q10" s="21">
        <f>Actuals!E8/Actuals!E7+returns_pp</f>
        <v/>
      </c>
      <c r="R10" s="21">
        <f>Actuals!F8/Actuals!F7+returns_pp</f>
        <v/>
      </c>
      <c r="S10" s="21">
        <f>Actuals!G8/Actuals!G7+returns_pp</f>
        <v/>
      </c>
      <c r="T10" s="21" t="n"/>
      <c r="U10" s="21" t="n"/>
    </row>
    <row r="11">
      <c r="A11" t="inlineStr">
        <is>
          <t>Returns</t>
        </is>
      </c>
      <c r="B11" s="5">
        <f>-B9*B10</f>
        <v/>
      </c>
      <c r="C11" s="5">
        <f>-C9*C10</f>
        <v/>
      </c>
      <c r="D11" s="5">
        <f>-D9*D10</f>
        <v/>
      </c>
      <c r="E11" s="5">
        <f>-E9*E10</f>
        <v/>
      </c>
      <c r="F11" s="5">
        <f>-F9*F10</f>
        <v/>
      </c>
      <c r="G11" s="5">
        <f>-G9*G10</f>
        <v/>
      </c>
      <c r="H11" s="5">
        <f>-H9*H10</f>
        <v/>
      </c>
      <c r="I11" s="5">
        <f>-I9*I10</f>
        <v/>
      </c>
      <c r="J11" s="5">
        <f>-J9*J10</f>
        <v/>
      </c>
      <c r="K11" s="5">
        <f>-K9*K10</f>
        <v/>
      </c>
      <c r="L11" s="5">
        <f>-L9*L10</f>
        <v/>
      </c>
      <c r="M11" s="5">
        <f>-M9*M10</f>
        <v/>
      </c>
      <c r="N11" s="5">
        <f>-N9*N10</f>
        <v/>
      </c>
      <c r="O11" s="5">
        <f>-O9*O10</f>
        <v/>
      </c>
      <c r="P11" s="5">
        <f>-P9*P10</f>
        <v/>
      </c>
      <c r="Q11" s="5">
        <f>-Q9*Q10</f>
        <v/>
      </c>
      <c r="R11" s="5">
        <f>-R9*R10</f>
        <v/>
      </c>
      <c r="S11" s="5">
        <f>-S9*S10</f>
        <v/>
      </c>
      <c r="T11" s="5">
        <f>SUM(B11:M11)</f>
        <v/>
      </c>
      <c r="U11" s="5">
        <f>SUM(B11:S11)</f>
        <v/>
      </c>
    </row>
    <row r="12">
      <c r="A12" s="22" t="inlineStr">
        <is>
          <t>Net revenue</t>
        </is>
      </c>
      <c r="B12" s="23">
        <f>B9+B11</f>
        <v/>
      </c>
      <c r="C12" s="23">
        <f>C9+C11</f>
        <v/>
      </c>
      <c r="D12" s="23">
        <f>D9+D11</f>
        <v/>
      </c>
      <c r="E12" s="23">
        <f>E9+E11</f>
        <v/>
      </c>
      <c r="F12" s="23">
        <f>F9+F11</f>
        <v/>
      </c>
      <c r="G12" s="23">
        <f>G9+G11</f>
        <v/>
      </c>
      <c r="H12" s="23">
        <f>H9+H11</f>
        <v/>
      </c>
      <c r="I12" s="23">
        <f>I9+I11</f>
        <v/>
      </c>
      <c r="J12" s="23">
        <f>J9+J11</f>
        <v/>
      </c>
      <c r="K12" s="23">
        <f>K9+K11</f>
        <v/>
      </c>
      <c r="L12" s="23">
        <f>L9+L11</f>
        <v/>
      </c>
      <c r="M12" s="23">
        <f>M9+M11</f>
        <v/>
      </c>
      <c r="N12" s="23">
        <f>N9+N11</f>
        <v/>
      </c>
      <c r="O12" s="23">
        <f>O9+O11</f>
        <v/>
      </c>
      <c r="P12" s="23">
        <f>P9+P11</f>
        <v/>
      </c>
      <c r="Q12" s="23">
        <f>Q9+Q11</f>
        <v/>
      </c>
      <c r="R12" s="23">
        <f>R9+R11</f>
        <v/>
      </c>
      <c r="S12" s="23">
        <f>S9+S11</f>
        <v/>
      </c>
      <c r="T12" s="23">
        <f>SUM(B12:M12)</f>
        <v/>
      </c>
      <c r="U12" s="23">
        <f>SUM(B12:S12)</f>
        <v/>
      </c>
    </row>
    <row r="13">
      <c r="A13" t="inlineStr">
        <is>
          <t>Gross margin %</t>
        </is>
      </c>
      <c r="B13" s="21">
        <f>1-Actuals!B9/(Actuals!B7-Actuals!B8)+gm_pp</f>
        <v/>
      </c>
      <c r="C13" s="21">
        <f>1-Actuals!C9/(Actuals!C7-Actuals!C8)+gm_pp</f>
        <v/>
      </c>
      <c r="D13" s="21">
        <f>1-Actuals!D9/(Actuals!D7-Actuals!D8)+gm_pp</f>
        <v/>
      </c>
      <c r="E13" s="21">
        <f>1-Actuals!E9/(Actuals!E7-Actuals!E8)+gm_pp</f>
        <v/>
      </c>
      <c r="F13" s="21">
        <f>1-Actuals!F9/(Actuals!F7-Actuals!F8)+gm_pp</f>
        <v/>
      </c>
      <c r="G13" s="21">
        <f>1-Actuals!G9/(Actuals!G7-Actuals!G8)+gm_pp</f>
        <v/>
      </c>
      <c r="H13" s="21">
        <f>1-Actuals!H9/(Actuals!H7-Actuals!H8)+gm_pp</f>
        <v/>
      </c>
      <c r="I13" s="21">
        <f>1-Actuals!I9/(Actuals!I7-Actuals!I8)+gm_pp</f>
        <v/>
      </c>
      <c r="J13" s="21">
        <f>1-Actuals!J9/(Actuals!J7-Actuals!J8)+gm_pp</f>
        <v/>
      </c>
      <c r="K13" s="21">
        <f>1-Actuals!K9/(Actuals!K7-Actuals!K8)+gm_pp</f>
        <v/>
      </c>
      <c r="L13" s="21">
        <f>1-Actuals!L9/(Actuals!L7-Actuals!L8)+gm_pp</f>
        <v/>
      </c>
      <c r="M13" s="21">
        <f>1-Actuals!M9/(Actuals!M7-Actuals!M8)+gm_pp</f>
        <v/>
      </c>
      <c r="N13" s="21">
        <f>1-Actuals!B9/(Actuals!B7-Actuals!B8)+gm_pp</f>
        <v/>
      </c>
      <c r="O13" s="21">
        <f>1-Actuals!C9/(Actuals!C7-Actuals!C8)+gm_pp</f>
        <v/>
      </c>
      <c r="P13" s="21">
        <f>1-Actuals!D9/(Actuals!D7-Actuals!D8)+gm_pp</f>
        <v/>
      </c>
      <c r="Q13" s="21">
        <f>1-Actuals!E9/(Actuals!E7-Actuals!E8)+gm_pp</f>
        <v/>
      </c>
      <c r="R13" s="21">
        <f>1-Actuals!F9/(Actuals!F7-Actuals!F8)+gm_pp</f>
        <v/>
      </c>
      <c r="S13" s="21">
        <f>1-Actuals!G9/(Actuals!G7-Actuals!G8)+gm_pp</f>
        <v/>
      </c>
      <c r="T13" s="21" t="n"/>
      <c r="U13" s="21" t="n"/>
    </row>
    <row r="14">
      <c r="A14" t="inlineStr">
        <is>
          <t>Cost of goods sold</t>
        </is>
      </c>
      <c r="B14" s="5">
        <f>-B12*(1-B13)</f>
        <v/>
      </c>
      <c r="C14" s="5">
        <f>-C12*(1-C13)</f>
        <v/>
      </c>
      <c r="D14" s="5">
        <f>-D12*(1-D13)</f>
        <v/>
      </c>
      <c r="E14" s="5">
        <f>-E12*(1-E13)</f>
        <v/>
      </c>
      <c r="F14" s="5">
        <f>-F12*(1-F13)</f>
        <v/>
      </c>
      <c r="G14" s="5">
        <f>-G12*(1-G13)</f>
        <v/>
      </c>
      <c r="H14" s="5">
        <f>-H12*(1-H13)</f>
        <v/>
      </c>
      <c r="I14" s="5">
        <f>-I12*(1-I13)</f>
        <v/>
      </c>
      <c r="J14" s="5">
        <f>-J12*(1-J13)</f>
        <v/>
      </c>
      <c r="K14" s="5">
        <f>-K12*(1-K13)</f>
        <v/>
      </c>
      <c r="L14" s="5">
        <f>-L12*(1-L13)</f>
        <v/>
      </c>
      <c r="M14" s="5">
        <f>-M12*(1-M13)</f>
        <v/>
      </c>
      <c r="N14" s="5">
        <f>-N12*(1-N13)</f>
        <v/>
      </c>
      <c r="O14" s="5">
        <f>-O12*(1-O13)</f>
        <v/>
      </c>
      <c r="P14" s="5">
        <f>-P12*(1-P13)</f>
        <v/>
      </c>
      <c r="Q14" s="5">
        <f>-Q12*(1-Q13)</f>
        <v/>
      </c>
      <c r="R14" s="5">
        <f>-R12*(1-R13)</f>
        <v/>
      </c>
      <c r="S14" s="5">
        <f>-S12*(1-S13)</f>
        <v/>
      </c>
      <c r="T14" s="5">
        <f>SUM(B14:M14)</f>
        <v/>
      </c>
      <c r="U14" s="5">
        <f>SUM(B14:S14)</f>
        <v/>
      </c>
    </row>
    <row r="15">
      <c r="A15" t="inlineStr">
        <is>
          <t>Delivery and fulfilment</t>
        </is>
      </c>
      <c r="B15" s="5">
        <f>-B7*delivery_rate*(1+carrier)</f>
        <v/>
      </c>
      <c r="C15" s="5">
        <f>-C7*delivery_rate*(1+carrier)</f>
        <v/>
      </c>
      <c r="D15" s="5">
        <f>-D7*delivery_rate*(1+carrier)</f>
        <v/>
      </c>
      <c r="E15" s="5">
        <f>-E7*delivery_rate*(1+carrier)</f>
        <v/>
      </c>
      <c r="F15" s="5">
        <f>-F7*delivery_rate*(1+carrier)</f>
        <v/>
      </c>
      <c r="G15" s="5">
        <f>-G7*delivery_rate*(1+carrier)</f>
        <v/>
      </c>
      <c r="H15" s="5">
        <f>-H7*delivery_rate*(1+carrier)</f>
        <v/>
      </c>
      <c r="I15" s="5">
        <f>-I7*delivery_rate*(1+carrier)</f>
        <v/>
      </c>
      <c r="J15" s="5">
        <f>-J7*delivery_rate*(1+carrier)</f>
        <v/>
      </c>
      <c r="K15" s="5">
        <f>-K7*delivery_rate*(1+carrier)</f>
        <v/>
      </c>
      <c r="L15" s="5">
        <f>-L7*delivery_rate*(1+carrier)</f>
        <v/>
      </c>
      <c r="M15" s="5">
        <f>-M7*delivery_rate*(1+carrier)</f>
        <v/>
      </c>
      <c r="N15" s="5">
        <f>-N7*delivery_rate*(1+carrier)</f>
        <v/>
      </c>
      <c r="O15" s="5">
        <f>-O7*delivery_rate*(1+carrier)</f>
        <v/>
      </c>
      <c r="P15" s="5">
        <f>-P7*delivery_rate*(1+carrier)</f>
        <v/>
      </c>
      <c r="Q15" s="5">
        <f>-Q7*delivery_rate*(1+carrier)</f>
        <v/>
      </c>
      <c r="R15" s="5">
        <f>-R7*delivery_rate*(1+carrier)</f>
        <v/>
      </c>
      <c r="S15" s="5">
        <f>-S7*delivery_rate*(1+carrier)</f>
        <v/>
      </c>
      <c r="T15" s="5">
        <f>SUM(B15:M15)</f>
        <v/>
      </c>
      <c r="U15" s="5">
        <f>SUM(B15:S15)</f>
        <v/>
      </c>
    </row>
    <row r="16">
      <c r="A16" t="inlineStr">
        <is>
          <t>Marketing</t>
        </is>
      </c>
      <c r="B16" s="5">
        <f>-B12*mkt_ratio</f>
        <v/>
      </c>
      <c r="C16" s="5">
        <f>-C12*mkt_ratio</f>
        <v/>
      </c>
      <c r="D16" s="5">
        <f>-D12*mkt_ratio</f>
        <v/>
      </c>
      <c r="E16" s="5">
        <f>-E12*mkt_ratio</f>
        <v/>
      </c>
      <c r="F16" s="5">
        <f>-F12*mkt_ratio</f>
        <v/>
      </c>
      <c r="G16" s="5">
        <f>-G12*mkt_ratio</f>
        <v/>
      </c>
      <c r="H16" s="5">
        <f>-H12*mkt_ratio</f>
        <v/>
      </c>
      <c r="I16" s="5">
        <f>-I12*mkt_ratio</f>
        <v/>
      </c>
      <c r="J16" s="5">
        <f>-J12*mkt_ratio</f>
        <v/>
      </c>
      <c r="K16" s="5">
        <f>-K12*mkt_ratio</f>
        <v/>
      </c>
      <c r="L16" s="5">
        <f>-L12*mkt_ratio</f>
        <v/>
      </c>
      <c r="M16" s="5">
        <f>-M12*mkt_ratio</f>
        <v/>
      </c>
      <c r="N16" s="5">
        <f>-N12*mkt_ratio</f>
        <v/>
      </c>
      <c r="O16" s="5">
        <f>-O12*mkt_ratio</f>
        <v/>
      </c>
      <c r="P16" s="5">
        <f>-P12*mkt_ratio</f>
        <v/>
      </c>
      <c r="Q16" s="5">
        <f>-Q12*mkt_ratio</f>
        <v/>
      </c>
      <c r="R16" s="5">
        <f>-R12*mkt_ratio</f>
        <v/>
      </c>
      <c r="S16" s="5">
        <f>-S12*mkt_ratio</f>
        <v/>
      </c>
      <c r="T16" s="5">
        <f>SUM(B16:M16)</f>
        <v/>
      </c>
      <c r="U16" s="5">
        <f>SUM(B16:S16)</f>
        <v/>
      </c>
    </row>
    <row r="17">
      <c r="A17" s="22" t="inlineStr">
        <is>
          <t>Contribution</t>
        </is>
      </c>
      <c r="B17" s="23">
        <f>B12+B14+B15+B16</f>
        <v/>
      </c>
      <c r="C17" s="23">
        <f>C12+C14+C15+C16</f>
        <v/>
      </c>
      <c r="D17" s="23">
        <f>D12+D14+D15+D16</f>
        <v/>
      </c>
      <c r="E17" s="23">
        <f>E12+E14+E15+E16</f>
        <v/>
      </c>
      <c r="F17" s="23">
        <f>F12+F14+F15+F16</f>
        <v/>
      </c>
      <c r="G17" s="23">
        <f>G12+G14+G15+G16</f>
        <v/>
      </c>
      <c r="H17" s="23">
        <f>H12+H14+H15+H16</f>
        <v/>
      </c>
      <c r="I17" s="23">
        <f>I12+I14+I15+I16</f>
        <v/>
      </c>
      <c r="J17" s="23">
        <f>J12+J14+J15+J16</f>
        <v/>
      </c>
      <c r="K17" s="23">
        <f>K12+K14+K15+K16</f>
        <v/>
      </c>
      <c r="L17" s="23">
        <f>L12+L14+L15+L16</f>
        <v/>
      </c>
      <c r="M17" s="23">
        <f>M12+M14+M15+M16</f>
        <v/>
      </c>
      <c r="N17" s="23">
        <f>N12+N14+N15+N16</f>
        <v/>
      </c>
      <c r="O17" s="23">
        <f>O12+O14+O15+O16</f>
        <v/>
      </c>
      <c r="P17" s="23">
        <f>P12+P14+P15+P16</f>
        <v/>
      </c>
      <c r="Q17" s="23">
        <f>Q12+Q14+Q15+Q16</f>
        <v/>
      </c>
      <c r="R17" s="23">
        <f>R12+R14+R15+R16</f>
        <v/>
      </c>
      <c r="S17" s="23">
        <f>S12+S14+S15+S16</f>
        <v/>
      </c>
      <c r="T17" s="23">
        <f>SUM(B17:M17)</f>
        <v/>
      </c>
      <c r="U17" s="23">
        <f>SUM(B17:S17)</f>
        <v/>
      </c>
    </row>
    <row r="19">
      <c r="A19" s="18" t="inlineStr">
        <is>
          <t>Marketplace</t>
        </is>
      </c>
    </row>
    <row r="20">
      <c r="A20" t="inlineStr">
        <is>
          <t>Orders (000s)</t>
        </is>
      </c>
      <c r="B20" s="19">
        <f>Actuals!B10*(1+mkt_growth)</f>
        <v/>
      </c>
      <c r="C20" s="19">
        <f>Actuals!C10*(1+mkt_growth)</f>
        <v/>
      </c>
      <c r="D20" s="19">
        <f>Actuals!D10*(1+mkt_growth)</f>
        <v/>
      </c>
      <c r="E20" s="19">
        <f>Actuals!E10*(1+mkt_growth)</f>
        <v/>
      </c>
      <c r="F20" s="19">
        <f>Actuals!F10*(1+mkt_growth)</f>
        <v/>
      </c>
      <c r="G20" s="19">
        <f>Actuals!G10*(1+mkt_growth)</f>
        <v/>
      </c>
      <c r="H20" s="19">
        <f>Actuals!H10*(1+mkt_growth)</f>
        <v/>
      </c>
      <c r="I20" s="19">
        <f>Actuals!I10*(1+mkt_growth)</f>
        <v/>
      </c>
      <c r="J20" s="19">
        <f>Actuals!J10*(1+mkt_growth)</f>
        <v/>
      </c>
      <c r="K20" s="19">
        <f>Actuals!K10*(1+mkt_growth)</f>
        <v/>
      </c>
      <c r="L20" s="19">
        <f>Actuals!L10*(1+mkt_growth)</f>
        <v/>
      </c>
      <c r="M20" s="19">
        <f>Actuals!M10*(1+mkt_growth)</f>
        <v/>
      </c>
      <c r="N20" s="19">
        <f>B20*(1+mkt_growth)</f>
        <v/>
      </c>
      <c r="O20" s="19">
        <f>C20*(1+mkt_growth)</f>
        <v/>
      </c>
      <c r="P20" s="19">
        <f>D20*(1+mkt_growth)</f>
        <v/>
      </c>
      <c r="Q20" s="19">
        <f>E20*(1+mkt_growth)</f>
        <v/>
      </c>
      <c r="R20" s="19">
        <f>F20*(1+mkt_growth)</f>
        <v/>
      </c>
      <c r="S20" s="19">
        <f>G20*(1+mkt_growth)</f>
        <v/>
      </c>
      <c r="T20" s="19">
        <f>SUM(B20:M20)</f>
        <v/>
      </c>
      <c r="U20" s="19">
        <f>SUM(B20:S20)</f>
        <v/>
      </c>
    </row>
    <row r="21">
      <c r="A21" t="inlineStr">
        <is>
          <t>Average order value (£)</t>
        </is>
      </c>
      <c r="B21" s="20">
        <f>Actuals!B11/Actuals!B10*(1+aov)</f>
        <v/>
      </c>
      <c r="C21" s="20">
        <f>Actuals!C11/Actuals!C10*(1+aov)</f>
        <v/>
      </c>
      <c r="D21" s="20">
        <f>Actuals!D11/Actuals!D10*(1+aov)</f>
        <v/>
      </c>
      <c r="E21" s="20">
        <f>Actuals!E11/Actuals!E10*(1+aov)</f>
        <v/>
      </c>
      <c r="F21" s="20">
        <f>Actuals!F11/Actuals!F10*(1+aov)</f>
        <v/>
      </c>
      <c r="G21" s="20">
        <f>Actuals!G11/Actuals!G10*(1+aov)</f>
        <v/>
      </c>
      <c r="H21" s="20">
        <f>Actuals!H11/Actuals!H10*(1+aov)</f>
        <v/>
      </c>
      <c r="I21" s="20">
        <f>Actuals!I11/Actuals!I10*(1+aov)</f>
        <v/>
      </c>
      <c r="J21" s="20">
        <f>Actuals!J11/Actuals!J10*(1+aov)</f>
        <v/>
      </c>
      <c r="K21" s="20">
        <f>Actuals!K11/Actuals!K10*(1+aov)</f>
        <v/>
      </c>
      <c r="L21" s="20">
        <f>Actuals!L11/Actuals!L10*(1+aov)</f>
        <v/>
      </c>
      <c r="M21" s="20">
        <f>Actuals!M11/Actuals!M10*(1+aov)</f>
        <v/>
      </c>
      <c r="N21" s="20">
        <f>B21*(1+aov)</f>
        <v/>
      </c>
      <c r="O21" s="20">
        <f>C21*(1+aov)</f>
        <v/>
      </c>
      <c r="P21" s="20">
        <f>D21*(1+aov)</f>
        <v/>
      </c>
      <c r="Q21" s="20">
        <f>E21*(1+aov)</f>
        <v/>
      </c>
      <c r="R21" s="20">
        <f>F21*(1+aov)</f>
        <v/>
      </c>
      <c r="S21" s="20">
        <f>G21*(1+aov)</f>
        <v/>
      </c>
      <c r="T21" s="20" t="n"/>
      <c r="U21" s="20" t="n"/>
    </row>
    <row r="22">
      <c r="A22" t="inlineStr">
        <is>
          <t>Gross sales</t>
        </is>
      </c>
      <c r="B22" s="5">
        <f>B20*B21</f>
        <v/>
      </c>
      <c r="C22" s="5">
        <f>C20*C21</f>
        <v/>
      </c>
      <c r="D22" s="5">
        <f>D20*D21</f>
        <v/>
      </c>
      <c r="E22" s="5">
        <f>E20*E21</f>
        <v/>
      </c>
      <c r="F22" s="5">
        <f>F20*F21</f>
        <v/>
      </c>
      <c r="G22" s="5">
        <f>G20*G21</f>
        <v/>
      </c>
      <c r="H22" s="5">
        <f>H20*H21</f>
        <v/>
      </c>
      <c r="I22" s="5">
        <f>I20*I21</f>
        <v/>
      </c>
      <c r="J22" s="5">
        <f>J20*J21</f>
        <v/>
      </c>
      <c r="K22" s="5">
        <f>K20*K21</f>
        <v/>
      </c>
      <c r="L22" s="5">
        <f>L20*L21</f>
        <v/>
      </c>
      <c r="M22" s="5">
        <f>M20*M21</f>
        <v/>
      </c>
      <c r="N22" s="5">
        <f>N20*N21</f>
        <v/>
      </c>
      <c r="O22" s="5">
        <f>O20*O21</f>
        <v/>
      </c>
      <c r="P22" s="5">
        <f>P20*P21</f>
        <v/>
      </c>
      <c r="Q22" s="5">
        <f>Q20*Q21</f>
        <v/>
      </c>
      <c r="R22" s="5">
        <f>R20*R21</f>
        <v/>
      </c>
      <c r="S22" s="5">
        <f>S20*S21</f>
        <v/>
      </c>
      <c r="T22" s="5">
        <f>SUM(B22:M22)</f>
        <v/>
      </c>
      <c r="U22" s="5">
        <f>SUM(B22:S22)</f>
        <v/>
      </c>
    </row>
    <row r="23">
      <c r="A23" t="inlineStr">
        <is>
          <t>Returns rate</t>
        </is>
      </c>
      <c r="B23" s="21">
        <f>Actuals!B12/Actuals!B11+returns_pp</f>
        <v/>
      </c>
      <c r="C23" s="21">
        <f>Actuals!C12/Actuals!C11+returns_pp</f>
        <v/>
      </c>
      <c r="D23" s="21">
        <f>Actuals!D12/Actuals!D11+returns_pp</f>
        <v/>
      </c>
      <c r="E23" s="21">
        <f>Actuals!E12/Actuals!E11+returns_pp</f>
        <v/>
      </c>
      <c r="F23" s="21">
        <f>Actuals!F12/Actuals!F11+returns_pp</f>
        <v/>
      </c>
      <c r="G23" s="21">
        <f>Actuals!G12/Actuals!G11+returns_pp</f>
        <v/>
      </c>
      <c r="H23" s="21">
        <f>Actuals!H12/Actuals!H11+returns_pp</f>
        <v/>
      </c>
      <c r="I23" s="21">
        <f>Actuals!I12/Actuals!I11+returns_pp</f>
        <v/>
      </c>
      <c r="J23" s="21">
        <f>Actuals!J12/Actuals!J11+returns_pp</f>
        <v/>
      </c>
      <c r="K23" s="21">
        <f>Actuals!K12/Actuals!K11+returns_pp</f>
        <v/>
      </c>
      <c r="L23" s="21">
        <f>Actuals!L12/Actuals!L11+returns_pp</f>
        <v/>
      </c>
      <c r="M23" s="21">
        <f>Actuals!M12/Actuals!M11+returns_pp</f>
        <v/>
      </c>
      <c r="N23" s="21">
        <f>Actuals!B12/Actuals!B11+returns_pp</f>
        <v/>
      </c>
      <c r="O23" s="21">
        <f>Actuals!C12/Actuals!C11+returns_pp</f>
        <v/>
      </c>
      <c r="P23" s="21">
        <f>Actuals!D12/Actuals!D11+returns_pp</f>
        <v/>
      </c>
      <c r="Q23" s="21">
        <f>Actuals!E12/Actuals!E11+returns_pp</f>
        <v/>
      </c>
      <c r="R23" s="21">
        <f>Actuals!F12/Actuals!F11+returns_pp</f>
        <v/>
      </c>
      <c r="S23" s="21">
        <f>Actuals!G12/Actuals!G11+returns_pp</f>
        <v/>
      </c>
      <c r="T23" s="21" t="n"/>
      <c r="U23" s="21" t="n"/>
    </row>
    <row r="24">
      <c r="A24" t="inlineStr">
        <is>
          <t>Returns</t>
        </is>
      </c>
      <c r="B24" s="5">
        <f>-B22*B23</f>
        <v/>
      </c>
      <c r="C24" s="5">
        <f>-C22*C23</f>
        <v/>
      </c>
      <c r="D24" s="5">
        <f>-D22*D23</f>
        <v/>
      </c>
      <c r="E24" s="5">
        <f>-E22*E23</f>
        <v/>
      </c>
      <c r="F24" s="5">
        <f>-F22*F23</f>
        <v/>
      </c>
      <c r="G24" s="5">
        <f>-G22*G23</f>
        <v/>
      </c>
      <c r="H24" s="5">
        <f>-H22*H23</f>
        <v/>
      </c>
      <c r="I24" s="5">
        <f>-I22*I23</f>
        <v/>
      </c>
      <c r="J24" s="5">
        <f>-J22*J23</f>
        <v/>
      </c>
      <c r="K24" s="5">
        <f>-K22*K23</f>
        <v/>
      </c>
      <c r="L24" s="5">
        <f>-L22*L23</f>
        <v/>
      </c>
      <c r="M24" s="5">
        <f>-M22*M23</f>
        <v/>
      </c>
      <c r="N24" s="5">
        <f>-N22*N23</f>
        <v/>
      </c>
      <c r="O24" s="5">
        <f>-O22*O23</f>
        <v/>
      </c>
      <c r="P24" s="5">
        <f>-P22*P23</f>
        <v/>
      </c>
      <c r="Q24" s="5">
        <f>-Q22*Q23</f>
        <v/>
      </c>
      <c r="R24" s="5">
        <f>-R22*R23</f>
        <v/>
      </c>
      <c r="S24" s="5">
        <f>-S22*S23</f>
        <v/>
      </c>
      <c r="T24" s="5">
        <f>SUM(B24:M24)</f>
        <v/>
      </c>
      <c r="U24" s="5">
        <f>SUM(B24:S24)</f>
        <v/>
      </c>
    </row>
    <row r="25">
      <c r="A25" s="22" t="inlineStr">
        <is>
          <t>Net revenue</t>
        </is>
      </c>
      <c r="B25" s="23">
        <f>B22+B24</f>
        <v/>
      </c>
      <c r="C25" s="23">
        <f>C22+C24</f>
        <v/>
      </c>
      <c r="D25" s="23">
        <f>D22+D24</f>
        <v/>
      </c>
      <c r="E25" s="23">
        <f>E22+E24</f>
        <v/>
      </c>
      <c r="F25" s="23">
        <f>F22+F24</f>
        <v/>
      </c>
      <c r="G25" s="23">
        <f>G22+G24</f>
        <v/>
      </c>
      <c r="H25" s="23">
        <f>H22+H24</f>
        <v/>
      </c>
      <c r="I25" s="23">
        <f>I22+I24</f>
        <v/>
      </c>
      <c r="J25" s="23">
        <f>J22+J24</f>
        <v/>
      </c>
      <c r="K25" s="23">
        <f>K22+K24</f>
        <v/>
      </c>
      <c r="L25" s="23">
        <f>L22+L24</f>
        <v/>
      </c>
      <c r="M25" s="23">
        <f>M22+M24</f>
        <v/>
      </c>
      <c r="N25" s="23">
        <f>N22+N24</f>
        <v/>
      </c>
      <c r="O25" s="23">
        <f>O22+O24</f>
        <v/>
      </c>
      <c r="P25" s="23">
        <f>P22+P24</f>
        <v/>
      </c>
      <c r="Q25" s="23">
        <f>Q22+Q24</f>
        <v/>
      </c>
      <c r="R25" s="23">
        <f>R22+R24</f>
        <v/>
      </c>
      <c r="S25" s="23">
        <f>S22+S24</f>
        <v/>
      </c>
      <c r="T25" s="23">
        <f>SUM(B25:M25)</f>
        <v/>
      </c>
      <c r="U25" s="23">
        <f>SUM(B25:S25)</f>
        <v/>
      </c>
    </row>
    <row r="26">
      <c r="A26" t="inlineStr">
        <is>
          <t>Gross margin %</t>
        </is>
      </c>
      <c r="B26" s="21">
        <f>1-Actuals!B13/(Actuals!B11-Actuals!B12)+gm_pp</f>
        <v/>
      </c>
      <c r="C26" s="21">
        <f>1-Actuals!C13/(Actuals!C11-Actuals!C12)+gm_pp</f>
        <v/>
      </c>
      <c r="D26" s="21">
        <f>1-Actuals!D13/(Actuals!D11-Actuals!D12)+gm_pp</f>
        <v/>
      </c>
      <c r="E26" s="21">
        <f>1-Actuals!E13/(Actuals!E11-Actuals!E12)+gm_pp</f>
        <v/>
      </c>
      <c r="F26" s="21">
        <f>1-Actuals!F13/(Actuals!F11-Actuals!F12)+gm_pp</f>
        <v/>
      </c>
      <c r="G26" s="21">
        <f>1-Actuals!G13/(Actuals!G11-Actuals!G12)+gm_pp</f>
        <v/>
      </c>
      <c r="H26" s="21">
        <f>1-Actuals!H13/(Actuals!H11-Actuals!H12)+gm_pp</f>
        <v/>
      </c>
      <c r="I26" s="21">
        <f>1-Actuals!I13/(Actuals!I11-Actuals!I12)+gm_pp</f>
        <v/>
      </c>
      <c r="J26" s="21">
        <f>1-Actuals!J13/(Actuals!J11-Actuals!J12)+gm_pp</f>
        <v/>
      </c>
      <c r="K26" s="21">
        <f>1-Actuals!K13/(Actuals!K11-Actuals!K12)+gm_pp</f>
        <v/>
      </c>
      <c r="L26" s="21">
        <f>1-Actuals!L13/(Actuals!L11-Actuals!L12)+gm_pp</f>
        <v/>
      </c>
      <c r="M26" s="21">
        <f>1-Actuals!M13/(Actuals!M11-Actuals!M12)+gm_pp</f>
        <v/>
      </c>
      <c r="N26" s="21">
        <f>1-Actuals!B13/(Actuals!B11-Actuals!B12)+gm_pp</f>
        <v/>
      </c>
      <c r="O26" s="21">
        <f>1-Actuals!C13/(Actuals!C11-Actuals!C12)+gm_pp</f>
        <v/>
      </c>
      <c r="P26" s="21">
        <f>1-Actuals!D13/(Actuals!D11-Actuals!D12)+gm_pp</f>
        <v/>
      </c>
      <c r="Q26" s="21">
        <f>1-Actuals!E13/(Actuals!E11-Actuals!E12)+gm_pp</f>
        <v/>
      </c>
      <c r="R26" s="21">
        <f>1-Actuals!F13/(Actuals!F11-Actuals!F12)+gm_pp</f>
        <v/>
      </c>
      <c r="S26" s="21">
        <f>1-Actuals!G13/(Actuals!G11-Actuals!G12)+gm_pp</f>
        <v/>
      </c>
      <c r="T26" s="21" t="n"/>
      <c r="U26" s="21" t="n"/>
    </row>
    <row r="27">
      <c r="A27" t="inlineStr">
        <is>
          <t>Cost of goods sold</t>
        </is>
      </c>
      <c r="B27" s="5">
        <f>-B25*(1-B26)</f>
        <v/>
      </c>
      <c r="C27" s="5">
        <f>-C25*(1-C26)</f>
        <v/>
      </c>
      <c r="D27" s="5">
        <f>-D25*(1-D26)</f>
        <v/>
      </c>
      <c r="E27" s="5">
        <f>-E25*(1-E26)</f>
        <v/>
      </c>
      <c r="F27" s="5">
        <f>-F25*(1-F26)</f>
        <v/>
      </c>
      <c r="G27" s="5">
        <f>-G25*(1-G26)</f>
        <v/>
      </c>
      <c r="H27" s="5">
        <f>-H25*(1-H26)</f>
        <v/>
      </c>
      <c r="I27" s="5">
        <f>-I25*(1-I26)</f>
        <v/>
      </c>
      <c r="J27" s="5">
        <f>-J25*(1-J26)</f>
        <v/>
      </c>
      <c r="K27" s="5">
        <f>-K25*(1-K26)</f>
        <v/>
      </c>
      <c r="L27" s="5">
        <f>-L25*(1-L26)</f>
        <v/>
      </c>
      <c r="M27" s="5">
        <f>-M25*(1-M26)</f>
        <v/>
      </c>
      <c r="N27" s="5">
        <f>-N25*(1-N26)</f>
        <v/>
      </c>
      <c r="O27" s="5">
        <f>-O25*(1-O26)</f>
        <v/>
      </c>
      <c r="P27" s="5">
        <f>-P25*(1-P26)</f>
        <v/>
      </c>
      <c r="Q27" s="5">
        <f>-Q25*(1-Q26)</f>
        <v/>
      </c>
      <c r="R27" s="5">
        <f>-R25*(1-R26)</f>
        <v/>
      </c>
      <c r="S27" s="5">
        <f>-S25*(1-S26)</f>
        <v/>
      </c>
      <c r="T27" s="5">
        <f>SUM(B27:M27)</f>
        <v/>
      </c>
      <c r="U27" s="5">
        <f>SUM(B27:S27)</f>
        <v/>
      </c>
    </row>
    <row r="28">
      <c r="A28" t="inlineStr">
        <is>
          <t>Delivery and fulfilment</t>
        </is>
      </c>
      <c r="B28" s="5">
        <f>-B20*delivery_rate*(1+carrier)</f>
        <v/>
      </c>
      <c r="C28" s="5">
        <f>-C20*delivery_rate*(1+carrier)</f>
        <v/>
      </c>
      <c r="D28" s="5">
        <f>-D20*delivery_rate*(1+carrier)</f>
        <v/>
      </c>
      <c r="E28" s="5">
        <f>-E20*delivery_rate*(1+carrier)</f>
        <v/>
      </c>
      <c r="F28" s="5">
        <f>-F20*delivery_rate*(1+carrier)</f>
        <v/>
      </c>
      <c r="G28" s="5">
        <f>-G20*delivery_rate*(1+carrier)</f>
        <v/>
      </c>
      <c r="H28" s="5">
        <f>-H20*delivery_rate*(1+carrier)</f>
        <v/>
      </c>
      <c r="I28" s="5">
        <f>-I20*delivery_rate*(1+carrier)</f>
        <v/>
      </c>
      <c r="J28" s="5">
        <f>-J20*delivery_rate*(1+carrier)</f>
        <v/>
      </c>
      <c r="K28" s="5">
        <f>-K20*delivery_rate*(1+carrier)</f>
        <v/>
      </c>
      <c r="L28" s="5">
        <f>-L20*delivery_rate*(1+carrier)</f>
        <v/>
      </c>
      <c r="M28" s="5">
        <f>-M20*delivery_rate*(1+carrier)</f>
        <v/>
      </c>
      <c r="N28" s="5">
        <f>-N20*delivery_rate*(1+carrier)</f>
        <v/>
      </c>
      <c r="O28" s="5">
        <f>-O20*delivery_rate*(1+carrier)</f>
        <v/>
      </c>
      <c r="P28" s="5">
        <f>-P20*delivery_rate*(1+carrier)</f>
        <v/>
      </c>
      <c r="Q28" s="5">
        <f>-Q20*delivery_rate*(1+carrier)</f>
        <v/>
      </c>
      <c r="R28" s="5">
        <f>-R20*delivery_rate*(1+carrier)</f>
        <v/>
      </c>
      <c r="S28" s="5">
        <f>-S20*delivery_rate*(1+carrier)</f>
        <v/>
      </c>
      <c r="T28" s="5">
        <f>SUM(B28:M28)</f>
        <v/>
      </c>
      <c r="U28" s="5">
        <f>SUM(B28:S28)</f>
        <v/>
      </c>
    </row>
    <row r="29">
      <c r="A29" t="inlineStr">
        <is>
          <t>Marketplace fees</t>
        </is>
      </c>
      <c r="B29" s="5">
        <f>-B25*fee_rate</f>
        <v/>
      </c>
      <c r="C29" s="5">
        <f>-C25*fee_rate</f>
        <v/>
      </c>
      <c r="D29" s="5">
        <f>-D25*fee_rate</f>
        <v/>
      </c>
      <c r="E29" s="5">
        <f>-E25*fee_rate</f>
        <v/>
      </c>
      <c r="F29" s="5">
        <f>-F25*fee_rate</f>
        <v/>
      </c>
      <c r="G29" s="5">
        <f>-G25*fee_rate</f>
        <v/>
      </c>
      <c r="H29" s="5">
        <f>-H25*fee_rate</f>
        <v/>
      </c>
      <c r="I29" s="5">
        <f>-I25*fee_rate</f>
        <v/>
      </c>
      <c r="J29" s="5">
        <f>-J25*fee_rate</f>
        <v/>
      </c>
      <c r="K29" s="5">
        <f>-K25*fee_rate</f>
        <v/>
      </c>
      <c r="L29" s="5">
        <f>-L25*fee_rate</f>
        <v/>
      </c>
      <c r="M29" s="5">
        <f>-M25*fee_rate</f>
        <v/>
      </c>
      <c r="N29" s="5">
        <f>-N25*fee_rate</f>
        <v/>
      </c>
      <c r="O29" s="5">
        <f>-O25*fee_rate</f>
        <v/>
      </c>
      <c r="P29" s="5">
        <f>-P25*fee_rate</f>
        <v/>
      </c>
      <c r="Q29" s="5">
        <f>-Q25*fee_rate</f>
        <v/>
      </c>
      <c r="R29" s="5">
        <f>-R25*fee_rate</f>
        <v/>
      </c>
      <c r="S29" s="5">
        <f>-S25*fee_rate</f>
        <v/>
      </c>
      <c r="T29" s="5">
        <f>SUM(B29:M29)</f>
        <v/>
      </c>
      <c r="U29" s="5">
        <f>SUM(B29:S29)</f>
        <v/>
      </c>
    </row>
    <row r="30">
      <c r="A30" s="22" t="inlineStr">
        <is>
          <t>Contribution</t>
        </is>
      </c>
      <c r="B30" s="23">
        <f>B25+B27+B28+B29</f>
        <v/>
      </c>
      <c r="C30" s="23">
        <f>C25+C27+C28+C29</f>
        <v/>
      </c>
      <c r="D30" s="23">
        <f>D25+D27+D28+D29</f>
        <v/>
      </c>
      <c r="E30" s="23">
        <f>E25+E27+E28+E29</f>
        <v/>
      </c>
      <c r="F30" s="23">
        <f>F25+F27+F28+F29</f>
        <v/>
      </c>
      <c r="G30" s="23">
        <f>G25+G27+G28+G29</f>
        <v/>
      </c>
      <c r="H30" s="23">
        <f>H25+H27+H28+H29</f>
        <v/>
      </c>
      <c r="I30" s="23">
        <f>I25+I27+I28+I29</f>
        <v/>
      </c>
      <c r="J30" s="23">
        <f>J25+J27+J28+J29</f>
        <v/>
      </c>
      <c r="K30" s="23">
        <f>K25+K27+K28+K29</f>
        <v/>
      </c>
      <c r="L30" s="23">
        <f>L25+L27+L28+L29</f>
        <v/>
      </c>
      <c r="M30" s="23">
        <f>M25+M27+M28+M29</f>
        <v/>
      </c>
      <c r="N30" s="23">
        <f>N25+N27+N28+N29</f>
        <v/>
      </c>
      <c r="O30" s="23">
        <f>O25+O27+O28+O29</f>
        <v/>
      </c>
      <c r="P30" s="23">
        <f>P25+P27+P28+P29</f>
        <v/>
      </c>
      <c r="Q30" s="23">
        <f>Q25+Q27+Q28+Q29</f>
        <v/>
      </c>
      <c r="R30" s="23">
        <f>R25+R27+R28+R29</f>
        <v/>
      </c>
      <c r="S30" s="23">
        <f>S25+S27+S28+S29</f>
        <v/>
      </c>
      <c r="T30" s="23">
        <f>SUM(B30:M30)</f>
        <v/>
      </c>
      <c r="U30" s="23">
        <f>SUM(B30:S30)</f>
        <v/>
      </c>
    </row>
    <row r="32">
      <c r="A32" s="18" t="inlineStr">
        <is>
          <t>Central</t>
        </is>
      </c>
    </row>
    <row r="33">
      <c r="A33" t="inlineStr">
        <is>
          <t>Total orders (000s)</t>
        </is>
      </c>
      <c r="B33" s="19">
        <f>B7+B20</f>
        <v/>
      </c>
      <c r="C33" s="19">
        <f>C7+C20</f>
        <v/>
      </c>
      <c r="D33" s="19">
        <f>D7+D20</f>
        <v/>
      </c>
      <c r="E33" s="19">
        <f>E7+E20</f>
        <v/>
      </c>
      <c r="F33" s="19">
        <f>F7+F20</f>
        <v/>
      </c>
      <c r="G33" s="19">
        <f>G7+G20</f>
        <v/>
      </c>
      <c r="H33" s="19">
        <f>H7+H20</f>
        <v/>
      </c>
      <c r="I33" s="19">
        <f>I7+I20</f>
        <v/>
      </c>
      <c r="J33" s="19">
        <f>J7+J20</f>
        <v/>
      </c>
      <c r="K33" s="19">
        <f>K7+K20</f>
        <v/>
      </c>
      <c r="L33" s="19">
        <f>L7+L20</f>
        <v/>
      </c>
      <c r="M33" s="19">
        <f>M7+M20</f>
        <v/>
      </c>
      <c r="N33" s="19">
        <f>N7+N20</f>
        <v/>
      </c>
      <c r="O33" s="19">
        <f>O7+O20</f>
        <v/>
      </c>
      <c r="P33" s="19">
        <f>P7+P20</f>
        <v/>
      </c>
      <c r="Q33" s="19">
        <f>Q7+Q20</f>
        <v/>
      </c>
      <c r="R33" s="19">
        <f>R7+R20</f>
        <v/>
      </c>
      <c r="S33" s="19">
        <f>S7+S20</f>
        <v/>
      </c>
      <c r="T33" s="19">
        <f>SUM(B33:M33)</f>
        <v/>
      </c>
      <c r="U33" s="19">
        <f>SUM(B33:S33)</f>
        <v/>
      </c>
    </row>
    <row r="34">
      <c r="A34" t="inlineStr">
        <is>
          <t>Warehouse hours (000s)</t>
        </is>
      </c>
      <c r="B34" s="19">
        <f>B33/(orders_per_hour*(1+productivity))</f>
        <v/>
      </c>
      <c r="C34" s="19">
        <f>C33/(orders_per_hour*(1+productivity))</f>
        <v/>
      </c>
      <c r="D34" s="19">
        <f>D33/(orders_per_hour*(1+productivity))</f>
        <v/>
      </c>
      <c r="E34" s="19">
        <f>E33/(orders_per_hour*(1+productivity))</f>
        <v/>
      </c>
      <c r="F34" s="19">
        <f>F33/(orders_per_hour*(1+productivity))</f>
        <v/>
      </c>
      <c r="G34" s="19">
        <f>G33/(orders_per_hour*(1+productivity))</f>
        <v/>
      </c>
      <c r="H34" s="19">
        <f>H33/(orders_per_hour*(1+productivity))</f>
        <v/>
      </c>
      <c r="I34" s="19">
        <f>I33/(orders_per_hour*(1+productivity))</f>
        <v/>
      </c>
      <c r="J34" s="19">
        <f>J33/(orders_per_hour*(1+productivity))</f>
        <v/>
      </c>
      <c r="K34" s="19">
        <f>K33/(orders_per_hour*(1+productivity))</f>
        <v/>
      </c>
      <c r="L34" s="19">
        <f>L33/(orders_per_hour*(1+productivity))</f>
        <v/>
      </c>
      <c r="M34" s="19">
        <f>M33/(orders_per_hour*(1+productivity))</f>
        <v/>
      </c>
      <c r="N34" s="19">
        <f>N33/(orders_per_hour*(1+productivity))</f>
        <v/>
      </c>
      <c r="O34" s="19">
        <f>O33/(orders_per_hour*(1+productivity))</f>
        <v/>
      </c>
      <c r="P34" s="19">
        <f>P33/(orders_per_hour*(1+productivity))</f>
        <v/>
      </c>
      <c r="Q34" s="19">
        <f>Q33/(orders_per_hour*(1+productivity))</f>
        <v/>
      </c>
      <c r="R34" s="19">
        <f>R33/(orders_per_hour*(1+productivity))</f>
        <v/>
      </c>
      <c r="S34" s="19">
        <f>S33/(orders_per_hour*(1+productivity))</f>
        <v/>
      </c>
      <c r="T34" s="19">
        <f>SUM(B34:M34)</f>
        <v/>
      </c>
      <c r="U34" s="19">
        <f>SUM(B34:S34)</f>
        <v/>
      </c>
    </row>
    <row r="35">
      <c r="A35" t="inlineStr">
        <is>
          <t>National Living Wage (£/hour)</t>
        </is>
      </c>
      <c r="B35" s="20">
        <f>IF(B$5&lt;DATE(2026,4,1),nlw_2025,IF(B$5&lt;DATE(2027,4,1),nlw_2026,nlw_2026*(1+nlw_2027)))</f>
        <v/>
      </c>
      <c r="C35" s="20">
        <f>IF(C$5&lt;DATE(2026,4,1),nlw_2025,IF(C$5&lt;DATE(2027,4,1),nlw_2026,nlw_2026*(1+nlw_2027)))</f>
        <v/>
      </c>
      <c r="D35" s="20">
        <f>IF(D$5&lt;DATE(2026,4,1),nlw_2025,IF(D$5&lt;DATE(2027,4,1),nlw_2026,nlw_2026*(1+nlw_2027)))</f>
        <v/>
      </c>
      <c r="E35" s="20">
        <f>IF(E$5&lt;DATE(2026,4,1),nlw_2025,IF(E$5&lt;DATE(2027,4,1),nlw_2026,nlw_2026*(1+nlw_2027)))</f>
        <v/>
      </c>
      <c r="F35" s="20">
        <f>IF(F$5&lt;DATE(2026,4,1),nlw_2025,IF(F$5&lt;DATE(2027,4,1),nlw_2026,nlw_2026*(1+nlw_2027)))</f>
        <v/>
      </c>
      <c r="G35" s="20">
        <f>IF(G$5&lt;DATE(2026,4,1),nlw_2025,IF(G$5&lt;DATE(2027,4,1),nlw_2026,nlw_2026*(1+nlw_2027)))</f>
        <v/>
      </c>
      <c r="H35" s="20">
        <f>IF(H$5&lt;DATE(2026,4,1),nlw_2025,IF(H$5&lt;DATE(2027,4,1),nlw_2026,nlw_2026*(1+nlw_2027)))</f>
        <v/>
      </c>
      <c r="I35" s="20">
        <f>IF(I$5&lt;DATE(2026,4,1),nlw_2025,IF(I$5&lt;DATE(2027,4,1),nlw_2026,nlw_2026*(1+nlw_2027)))</f>
        <v/>
      </c>
      <c r="J35" s="20">
        <f>IF(J$5&lt;DATE(2026,4,1),nlw_2025,IF(J$5&lt;DATE(2027,4,1),nlw_2026,nlw_2026*(1+nlw_2027)))</f>
        <v/>
      </c>
      <c r="K35" s="20">
        <f>IF(K$5&lt;DATE(2026,4,1),nlw_2025,IF(K$5&lt;DATE(2027,4,1),nlw_2026,nlw_2026*(1+nlw_2027)))</f>
        <v/>
      </c>
      <c r="L35" s="20">
        <f>IF(L$5&lt;DATE(2026,4,1),nlw_2025,IF(L$5&lt;DATE(2027,4,1),nlw_2026,nlw_2026*(1+nlw_2027)))</f>
        <v/>
      </c>
      <c r="M35" s="20">
        <f>IF(M$5&lt;DATE(2026,4,1),nlw_2025,IF(M$5&lt;DATE(2027,4,1),nlw_2026,nlw_2026*(1+nlw_2027)))</f>
        <v/>
      </c>
      <c r="N35" s="20">
        <f>IF(N$5&lt;DATE(2026,4,1),nlw_2025,IF(N$5&lt;DATE(2027,4,1),nlw_2026,nlw_2026*(1+nlw_2027)))</f>
        <v/>
      </c>
      <c r="O35" s="20">
        <f>IF(O$5&lt;DATE(2026,4,1),nlw_2025,IF(O$5&lt;DATE(2027,4,1),nlw_2026,nlw_2026*(1+nlw_2027)))</f>
        <v/>
      </c>
      <c r="P35" s="20">
        <f>IF(P$5&lt;DATE(2026,4,1),nlw_2025,IF(P$5&lt;DATE(2027,4,1),nlw_2026,nlw_2026*(1+nlw_2027)))</f>
        <v/>
      </c>
      <c r="Q35" s="20">
        <f>IF(Q$5&lt;DATE(2026,4,1),nlw_2025,IF(Q$5&lt;DATE(2027,4,1),nlw_2026,nlw_2026*(1+nlw_2027)))</f>
        <v/>
      </c>
      <c r="R35" s="20">
        <f>IF(R$5&lt;DATE(2026,4,1),nlw_2025,IF(R$5&lt;DATE(2027,4,1),nlw_2026,nlw_2026*(1+nlw_2027)))</f>
        <v/>
      </c>
      <c r="S35" s="20">
        <f>IF(S$5&lt;DATE(2026,4,1),nlw_2025,IF(S$5&lt;DATE(2027,4,1),nlw_2026,nlw_2026*(1+nlw_2027)))</f>
        <v/>
      </c>
      <c r="T35" s="20" t="n"/>
      <c r="U35" s="20" t="n"/>
    </row>
    <row r="36">
      <c r="A36" t="inlineStr">
        <is>
          <t>Warehouse payroll</t>
        </is>
      </c>
      <c r="B36" s="5">
        <f>-B34*B35*(1+oncost)</f>
        <v/>
      </c>
      <c r="C36" s="5">
        <f>-C34*C35*(1+oncost)</f>
        <v/>
      </c>
      <c r="D36" s="5">
        <f>-D34*D35*(1+oncost)</f>
        <v/>
      </c>
      <c r="E36" s="5">
        <f>-E34*E35*(1+oncost)</f>
        <v/>
      </c>
      <c r="F36" s="5">
        <f>-F34*F35*(1+oncost)</f>
        <v/>
      </c>
      <c r="G36" s="5">
        <f>-G34*G35*(1+oncost)</f>
        <v/>
      </c>
      <c r="H36" s="5">
        <f>-H34*H35*(1+oncost)</f>
        <v/>
      </c>
      <c r="I36" s="5">
        <f>-I34*I35*(1+oncost)</f>
        <v/>
      </c>
      <c r="J36" s="5">
        <f>-J34*J35*(1+oncost)</f>
        <v/>
      </c>
      <c r="K36" s="5">
        <f>-K34*K35*(1+oncost)</f>
        <v/>
      </c>
      <c r="L36" s="5">
        <f>-L34*L35*(1+oncost)</f>
        <v/>
      </c>
      <c r="M36" s="5">
        <f>-M34*M35*(1+oncost)</f>
        <v/>
      </c>
      <c r="N36" s="5">
        <f>-N34*N35*(1+oncost)</f>
        <v/>
      </c>
      <c r="O36" s="5">
        <f>-O34*O35*(1+oncost)</f>
        <v/>
      </c>
      <c r="P36" s="5">
        <f>-P34*P35*(1+oncost)</f>
        <v/>
      </c>
      <c r="Q36" s="5">
        <f>-Q34*Q35*(1+oncost)</f>
        <v/>
      </c>
      <c r="R36" s="5">
        <f>-R34*R35*(1+oncost)</f>
        <v/>
      </c>
      <c r="S36" s="5">
        <f>-S34*S35*(1+oncost)</f>
        <v/>
      </c>
      <c r="T36" s="5">
        <f>SUM(B36:M36)</f>
        <v/>
      </c>
      <c r="U36" s="5">
        <f>SUM(B36:S36)</f>
        <v/>
      </c>
    </row>
    <row r="37">
      <c r="A37" t="inlineStr">
        <is>
          <t>Salaried payroll</t>
        </is>
      </c>
      <c r="B37" s="5">
        <f>-salaried_month*(1+pay_rise)^((B$5&gt;=DATE(2026,4,1))+(B$5&gt;=DATE(2027,4,1)))</f>
        <v/>
      </c>
      <c r="C37" s="5">
        <f>-salaried_month*(1+pay_rise)^((C$5&gt;=DATE(2026,4,1))+(C$5&gt;=DATE(2027,4,1)))</f>
        <v/>
      </c>
      <c r="D37" s="5">
        <f>-salaried_month*(1+pay_rise)^((D$5&gt;=DATE(2026,4,1))+(D$5&gt;=DATE(2027,4,1)))</f>
        <v/>
      </c>
      <c r="E37" s="5">
        <f>-salaried_month*(1+pay_rise)^((E$5&gt;=DATE(2026,4,1))+(E$5&gt;=DATE(2027,4,1)))</f>
        <v/>
      </c>
      <c r="F37" s="5">
        <f>-salaried_month*(1+pay_rise)^((F$5&gt;=DATE(2026,4,1))+(F$5&gt;=DATE(2027,4,1)))</f>
        <v/>
      </c>
      <c r="G37" s="5">
        <f>-salaried_month*(1+pay_rise)^((G$5&gt;=DATE(2026,4,1))+(G$5&gt;=DATE(2027,4,1)))</f>
        <v/>
      </c>
      <c r="H37" s="5">
        <f>-salaried_month*(1+pay_rise)^((H$5&gt;=DATE(2026,4,1))+(H$5&gt;=DATE(2027,4,1)))</f>
        <v/>
      </c>
      <c r="I37" s="5">
        <f>-salaried_month*(1+pay_rise)^((I$5&gt;=DATE(2026,4,1))+(I$5&gt;=DATE(2027,4,1)))</f>
        <v/>
      </c>
      <c r="J37" s="5">
        <f>-salaried_month*(1+pay_rise)^((J$5&gt;=DATE(2026,4,1))+(J$5&gt;=DATE(2027,4,1)))</f>
        <v/>
      </c>
      <c r="K37" s="5">
        <f>-salaried_month*(1+pay_rise)^((K$5&gt;=DATE(2026,4,1))+(K$5&gt;=DATE(2027,4,1)))</f>
        <v/>
      </c>
      <c r="L37" s="5">
        <f>-salaried_month*(1+pay_rise)^((L$5&gt;=DATE(2026,4,1))+(L$5&gt;=DATE(2027,4,1)))</f>
        <v/>
      </c>
      <c r="M37" s="5">
        <f>-salaried_month*(1+pay_rise)^((M$5&gt;=DATE(2026,4,1))+(M$5&gt;=DATE(2027,4,1)))</f>
        <v/>
      </c>
      <c r="N37" s="5">
        <f>-salaried_month*(1+pay_rise)^((N$5&gt;=DATE(2026,4,1))+(N$5&gt;=DATE(2027,4,1)))</f>
        <v/>
      </c>
      <c r="O37" s="5">
        <f>-salaried_month*(1+pay_rise)^((O$5&gt;=DATE(2026,4,1))+(O$5&gt;=DATE(2027,4,1)))</f>
        <v/>
      </c>
      <c r="P37" s="5">
        <f>-salaried_month*(1+pay_rise)^((P$5&gt;=DATE(2026,4,1))+(P$5&gt;=DATE(2027,4,1)))</f>
        <v/>
      </c>
      <c r="Q37" s="5">
        <f>-salaried_month*(1+pay_rise)^((Q$5&gt;=DATE(2026,4,1))+(Q$5&gt;=DATE(2027,4,1)))</f>
        <v/>
      </c>
      <c r="R37" s="5">
        <f>-salaried_month*(1+pay_rise)^((R$5&gt;=DATE(2026,4,1))+(R$5&gt;=DATE(2027,4,1)))</f>
        <v/>
      </c>
      <c r="S37" s="5">
        <f>-salaried_month*(1+pay_rise)^((S$5&gt;=DATE(2026,4,1))+(S$5&gt;=DATE(2027,4,1)))</f>
        <v/>
      </c>
      <c r="T37" s="5">
        <f>SUM(B37:M37)</f>
        <v/>
      </c>
      <c r="U37" s="5">
        <f>SUM(B37:S37)</f>
        <v/>
      </c>
    </row>
    <row r="38">
      <c r="A38" t="inlineStr">
        <is>
          <t>Other overheads</t>
        </is>
      </c>
      <c r="B38" s="5">
        <f>-Actuals!B15*(1+overheads)^1</f>
        <v/>
      </c>
      <c r="C38" s="5">
        <f>-Actuals!C15*(1+overheads)^1</f>
        <v/>
      </c>
      <c r="D38" s="5">
        <f>-Actuals!D15*(1+overheads)^1</f>
        <v/>
      </c>
      <c r="E38" s="5">
        <f>-Actuals!E15*(1+overheads)^1</f>
        <v/>
      </c>
      <c r="F38" s="5">
        <f>-Actuals!F15*(1+overheads)^1</f>
        <v/>
      </c>
      <c r="G38" s="5">
        <f>-Actuals!G15*(1+overheads)^1</f>
        <v/>
      </c>
      <c r="H38" s="5">
        <f>-Actuals!H15*(1+overheads)^1</f>
        <v/>
      </c>
      <c r="I38" s="5">
        <f>-Actuals!I15*(1+overheads)^1</f>
        <v/>
      </c>
      <c r="J38" s="5">
        <f>-Actuals!J15*(1+overheads)^1</f>
        <v/>
      </c>
      <c r="K38" s="5">
        <f>-Actuals!K15*(1+overheads)^1</f>
        <v/>
      </c>
      <c r="L38" s="5">
        <f>-Actuals!L15*(1+overheads)^1</f>
        <v/>
      </c>
      <c r="M38" s="5">
        <f>-Actuals!M15*(1+overheads)^1</f>
        <v/>
      </c>
      <c r="N38" s="5">
        <f>-Actuals!B15*(1+overheads)^2</f>
        <v/>
      </c>
      <c r="O38" s="5">
        <f>-Actuals!C15*(1+overheads)^2</f>
        <v/>
      </c>
      <c r="P38" s="5">
        <f>-Actuals!D15*(1+overheads)^2</f>
        <v/>
      </c>
      <c r="Q38" s="5">
        <f>-Actuals!E15*(1+overheads)^2</f>
        <v/>
      </c>
      <c r="R38" s="5">
        <f>-Actuals!F15*(1+overheads)^2</f>
        <v/>
      </c>
      <c r="S38" s="5">
        <f>-Actuals!G15*(1+overheads)^2</f>
        <v/>
      </c>
      <c r="T38" s="5">
        <f>SUM(B38:M38)</f>
        <v/>
      </c>
      <c r="U38" s="5">
        <f>SUM(B38:S38)</f>
        <v/>
      </c>
    </row>
    <row r="39">
      <c r="A39" s="22" t="inlineStr">
        <is>
          <t>EBITDA</t>
        </is>
      </c>
      <c r="B39" s="23">
        <f>B17+B30+B36+B37+B38</f>
        <v/>
      </c>
      <c r="C39" s="23">
        <f>C17+C30+C36+C37+C38</f>
        <v/>
      </c>
      <c r="D39" s="23">
        <f>D17+D30+D36+D37+D38</f>
        <v/>
      </c>
      <c r="E39" s="23">
        <f>E17+E30+E36+E37+E38</f>
        <v/>
      </c>
      <c r="F39" s="23">
        <f>F17+F30+F36+F37+F38</f>
        <v/>
      </c>
      <c r="G39" s="23">
        <f>G17+G30+G36+G37+G38</f>
        <v/>
      </c>
      <c r="H39" s="23">
        <f>H17+H30+H36+H37+H38</f>
        <v/>
      </c>
      <c r="I39" s="23">
        <f>I17+I30+I36+I37+I38</f>
        <v/>
      </c>
      <c r="J39" s="23">
        <f>J17+J30+J36+J37+J38</f>
        <v/>
      </c>
      <c r="K39" s="23">
        <f>K17+K30+K36+K37+K38</f>
        <v/>
      </c>
      <c r="L39" s="23">
        <f>L17+L30+L36+L37+L38</f>
        <v/>
      </c>
      <c r="M39" s="23">
        <f>M17+M30+M36+M37+M38</f>
        <v/>
      </c>
      <c r="N39" s="23">
        <f>N17+N30+N36+N37+N38</f>
        <v/>
      </c>
      <c r="O39" s="23">
        <f>O17+O30+O36+O37+O38</f>
        <v/>
      </c>
      <c r="P39" s="23">
        <f>P17+P30+P36+P37+P38</f>
        <v/>
      </c>
      <c r="Q39" s="23">
        <f>Q17+Q30+Q36+Q37+Q38</f>
        <v/>
      </c>
      <c r="R39" s="23">
        <f>R17+R30+R36+R37+R38</f>
        <v/>
      </c>
      <c r="S39" s="23">
        <f>S17+S30+S36+S37+S38</f>
        <v/>
      </c>
      <c r="T39" s="23">
        <f>SUM(B39:M39)</f>
        <v/>
      </c>
      <c r="U39" s="23">
        <f>SUM(B39:S39)</f>
        <v/>
      </c>
    </row>
    <row r="40">
      <c r="A40" t="inlineStr">
        <is>
          <t>Depreciation</t>
        </is>
      </c>
      <c r="B40" s="5">
        <f>-dep_m</f>
        <v/>
      </c>
      <c r="C40" s="5">
        <f>-dep_m</f>
        <v/>
      </c>
      <c r="D40" s="5">
        <f>-dep_m</f>
        <v/>
      </c>
      <c r="E40" s="5">
        <f>-dep_m</f>
        <v/>
      </c>
      <c r="F40" s="5">
        <f>-dep_m</f>
        <v/>
      </c>
      <c r="G40" s="5">
        <f>-dep_m</f>
        <v/>
      </c>
      <c r="H40" s="5">
        <f>-dep_m</f>
        <v/>
      </c>
      <c r="I40" s="5">
        <f>-dep_m</f>
        <v/>
      </c>
      <c r="J40" s="5">
        <f>-dep_m</f>
        <v/>
      </c>
      <c r="K40" s="5">
        <f>-dep_m</f>
        <v/>
      </c>
      <c r="L40" s="5">
        <f>-dep_m</f>
        <v/>
      </c>
      <c r="M40" s="5">
        <f>-dep_m</f>
        <v/>
      </c>
      <c r="N40" s="5">
        <f>-dep_m</f>
        <v/>
      </c>
      <c r="O40" s="5">
        <f>-dep_m</f>
        <v/>
      </c>
      <c r="P40" s="5">
        <f>-dep_m</f>
        <v/>
      </c>
      <c r="Q40" s="5">
        <f>-dep_m</f>
        <v/>
      </c>
      <c r="R40" s="5">
        <f>-dep_m</f>
        <v/>
      </c>
      <c r="S40" s="5">
        <f>-dep_m</f>
        <v/>
      </c>
      <c r="T40" s="5">
        <f>SUM(B40:M40)</f>
        <v/>
      </c>
      <c r="U40" s="5">
        <f>SUM(B40:S40)</f>
        <v/>
      </c>
    </row>
    <row r="41">
      <c r="A41" s="22" t="inlineStr">
        <is>
          <t>Operating profit</t>
        </is>
      </c>
      <c r="B41" s="23">
        <f>B39+B40</f>
        <v/>
      </c>
      <c r="C41" s="23">
        <f>C39+C40</f>
        <v/>
      </c>
      <c r="D41" s="23">
        <f>D39+D40</f>
        <v/>
      </c>
      <c r="E41" s="23">
        <f>E39+E40</f>
        <v/>
      </c>
      <c r="F41" s="23">
        <f>F39+F40</f>
        <v/>
      </c>
      <c r="G41" s="23">
        <f>G39+G40</f>
        <v/>
      </c>
      <c r="H41" s="23">
        <f>H39+H40</f>
        <v/>
      </c>
      <c r="I41" s="23">
        <f>I39+I40</f>
        <v/>
      </c>
      <c r="J41" s="23">
        <f>J39+J40</f>
        <v/>
      </c>
      <c r="K41" s="23">
        <f>K39+K40</f>
        <v/>
      </c>
      <c r="L41" s="23">
        <f>L39+L40</f>
        <v/>
      </c>
      <c r="M41" s="23">
        <f>M39+M40</f>
        <v/>
      </c>
      <c r="N41" s="23">
        <f>N39+N40</f>
        <v/>
      </c>
      <c r="O41" s="23">
        <f>O39+O40</f>
        <v/>
      </c>
      <c r="P41" s="23">
        <f>P39+P40</f>
        <v/>
      </c>
      <c r="Q41" s="23">
        <f>Q39+Q40</f>
        <v/>
      </c>
      <c r="R41" s="23">
        <f>R39+R40</f>
        <v/>
      </c>
      <c r="S41" s="23">
        <f>S39+S40</f>
        <v/>
      </c>
      <c r="T41" s="23">
        <f>SUM(B41:M41)</f>
        <v/>
      </c>
      <c r="U41" s="23">
        <f>SUM(B41:S41)</f>
        <v/>
      </c>
    </row>
    <row r="43">
      <c r="A43" s="18" t="inlineStr">
        <is>
          <t>Cash</t>
        </is>
      </c>
    </row>
    <row r="44">
      <c r="A44" s="24" t="inlineStr">
        <is>
          <t>Cost of goods sold, total</t>
        </is>
      </c>
      <c r="B44" s="25">
        <f>-(B14+B27)</f>
        <v/>
      </c>
      <c r="C44" s="25">
        <f>-(C14+C27)</f>
        <v/>
      </c>
      <c r="D44" s="25">
        <f>-(D14+D27)</f>
        <v/>
      </c>
      <c r="E44" s="25">
        <f>-(E14+E27)</f>
        <v/>
      </c>
      <c r="F44" s="25">
        <f>-(F14+F27)</f>
        <v/>
      </c>
      <c r="G44" s="25">
        <f>-(G14+G27)</f>
        <v/>
      </c>
      <c r="H44" s="25">
        <f>-(H14+H27)</f>
        <v/>
      </c>
      <c r="I44" s="25">
        <f>-(I14+I27)</f>
        <v/>
      </c>
      <c r="J44" s="25">
        <f>-(J14+J27)</f>
        <v/>
      </c>
      <c r="K44" s="25">
        <f>-(K14+K27)</f>
        <v/>
      </c>
      <c r="L44" s="25">
        <f>-(L14+L27)</f>
        <v/>
      </c>
      <c r="M44" s="25">
        <f>-(M14+M27)</f>
        <v/>
      </c>
      <c r="N44" s="25">
        <f>-(N14+N27)</f>
        <v/>
      </c>
      <c r="O44" s="25">
        <f>-(O14+O27)</f>
        <v/>
      </c>
      <c r="P44" s="25">
        <f>-(P14+P27)</f>
        <v/>
      </c>
      <c r="Q44" s="25">
        <f>-(Q14+Q27)</f>
        <v/>
      </c>
      <c r="R44" s="25">
        <f>-(R14+R27)</f>
        <v/>
      </c>
      <c r="S44" s="25">
        <f>-(S14+S27)</f>
        <v/>
      </c>
      <c r="T44" s="25" t="n"/>
      <c r="U44" s="25" t="n"/>
    </row>
    <row r="45">
      <c r="A45" s="24" t="inlineStr">
        <is>
          <t>Last 12 months' cost of goods sold</t>
        </is>
      </c>
      <c r="B45" s="25">
        <f>SUM(Actuals!C16:Actuals!$M$16)+SUM($B44:B44)</f>
        <v/>
      </c>
      <c r="C45" s="25">
        <f>SUM(Actuals!D16:Actuals!$M$16)+SUM($B44:C44)</f>
        <v/>
      </c>
      <c r="D45" s="25">
        <f>SUM(Actuals!E16:Actuals!$M$16)+SUM($B44:D44)</f>
        <v/>
      </c>
      <c r="E45" s="25">
        <f>SUM(Actuals!F16:Actuals!$M$16)+SUM($B44:E44)</f>
        <v/>
      </c>
      <c r="F45" s="25">
        <f>SUM(Actuals!G16:Actuals!$M$16)+SUM($B44:F44)</f>
        <v/>
      </c>
      <c r="G45" s="25">
        <f>SUM(Actuals!H16:Actuals!$M$16)+SUM($B44:G44)</f>
        <v/>
      </c>
      <c r="H45" s="25">
        <f>SUM(Actuals!I16:Actuals!$M$16)+SUM($B44:H44)</f>
        <v/>
      </c>
      <c r="I45" s="25">
        <f>SUM(Actuals!J16:Actuals!$M$16)+SUM($B44:I44)</f>
        <v/>
      </c>
      <c r="J45" s="25">
        <f>SUM(Actuals!K16:Actuals!$M$16)+SUM($B44:J44)</f>
        <v/>
      </c>
      <c r="K45" s="25">
        <f>SUM(Actuals!L16:Actuals!$M$16)+SUM($B44:K44)</f>
        <v/>
      </c>
      <c r="L45" s="25">
        <f>SUM(Actuals!M16:Actuals!$M$16)+SUM($B44:L44)</f>
        <v/>
      </c>
      <c r="M45" s="25">
        <f>SUM(B44:M44)</f>
        <v/>
      </c>
      <c r="N45" s="25">
        <f>SUM(C44:N44)</f>
        <v/>
      </c>
      <c r="O45" s="25">
        <f>SUM(D44:O44)</f>
        <v/>
      </c>
      <c r="P45" s="25">
        <f>SUM(E44:P44)</f>
        <v/>
      </c>
      <c r="Q45" s="25">
        <f>SUM(F44:Q44)</f>
        <v/>
      </c>
      <c r="R45" s="25">
        <f>SUM(G44:R44)</f>
        <v/>
      </c>
      <c r="S45" s="25">
        <f>SUM(H44:S44)</f>
        <v/>
      </c>
      <c r="T45" s="25" t="n"/>
      <c r="U45" s="25" t="n"/>
    </row>
    <row r="46">
      <c r="A46" t="inlineStr">
        <is>
          <t>Inventory</t>
        </is>
      </c>
      <c r="B46" s="5">
        <f>inv_days/365*B45</f>
        <v/>
      </c>
      <c r="C46" s="5">
        <f>inv_days/365*C45</f>
        <v/>
      </c>
      <c r="D46" s="5">
        <f>inv_days/365*D45</f>
        <v/>
      </c>
      <c r="E46" s="5">
        <f>inv_days/365*E45</f>
        <v/>
      </c>
      <c r="F46" s="5">
        <f>inv_days/365*F45</f>
        <v/>
      </c>
      <c r="G46" s="5">
        <f>inv_days/365*G45</f>
        <v/>
      </c>
      <c r="H46" s="5">
        <f>inv_days/365*H45</f>
        <v/>
      </c>
      <c r="I46" s="5">
        <f>inv_days/365*I45</f>
        <v/>
      </c>
      <c r="J46" s="5">
        <f>inv_days/365*J45</f>
        <v/>
      </c>
      <c r="K46" s="5">
        <f>inv_days/365*K45</f>
        <v/>
      </c>
      <c r="L46" s="5">
        <f>inv_days/365*L45</f>
        <v/>
      </c>
      <c r="M46" s="5">
        <f>inv_days/365*M45</f>
        <v/>
      </c>
      <c r="N46" s="5">
        <f>inv_days/365*N45</f>
        <v/>
      </c>
      <c r="O46" s="5">
        <f>inv_days/365*O45</f>
        <v/>
      </c>
      <c r="P46" s="5">
        <f>inv_days/365*P45</f>
        <v/>
      </c>
      <c r="Q46" s="5">
        <f>inv_days/365*Q45</f>
        <v/>
      </c>
      <c r="R46" s="5">
        <f>inv_days/365*R45</f>
        <v/>
      </c>
      <c r="S46" s="5">
        <f>inv_days/365*S45</f>
        <v/>
      </c>
      <c r="T46" s="5" t="n"/>
      <c r="U46" s="5" t="n"/>
    </row>
    <row r="47">
      <c r="A47" t="inlineStr">
        <is>
          <t>Trade payables</t>
        </is>
      </c>
      <c r="B47" s="5">
        <f>pay_days/365*B45</f>
        <v/>
      </c>
      <c r="C47" s="5">
        <f>pay_days/365*C45</f>
        <v/>
      </c>
      <c r="D47" s="5">
        <f>pay_days/365*D45</f>
        <v/>
      </c>
      <c r="E47" s="5">
        <f>pay_days/365*E45</f>
        <v/>
      </c>
      <c r="F47" s="5">
        <f>pay_days/365*F45</f>
        <v/>
      </c>
      <c r="G47" s="5">
        <f>pay_days/365*G45</f>
        <v/>
      </c>
      <c r="H47" s="5">
        <f>pay_days/365*H45</f>
        <v/>
      </c>
      <c r="I47" s="5">
        <f>pay_days/365*I45</f>
        <v/>
      </c>
      <c r="J47" s="5">
        <f>pay_days/365*J45</f>
        <v/>
      </c>
      <c r="K47" s="5">
        <f>pay_days/365*K45</f>
        <v/>
      </c>
      <c r="L47" s="5">
        <f>pay_days/365*L45</f>
        <v/>
      </c>
      <c r="M47" s="5">
        <f>pay_days/365*M45</f>
        <v/>
      </c>
      <c r="N47" s="5">
        <f>pay_days/365*N45</f>
        <v/>
      </c>
      <c r="O47" s="5">
        <f>pay_days/365*O45</f>
        <v/>
      </c>
      <c r="P47" s="5">
        <f>pay_days/365*P45</f>
        <v/>
      </c>
      <c r="Q47" s="5">
        <f>pay_days/365*Q45</f>
        <v/>
      </c>
      <c r="R47" s="5">
        <f>pay_days/365*R45</f>
        <v/>
      </c>
      <c r="S47" s="5">
        <f>pay_days/365*S45</f>
        <v/>
      </c>
      <c r="T47" s="5" t="n"/>
      <c r="U47" s="5" t="n"/>
    </row>
    <row r="48">
      <c r="A48" s="16" t="inlineStr">
        <is>
          <t>Opening cash</t>
        </is>
      </c>
      <c r="B48" s="26">
        <f>cash_open</f>
        <v/>
      </c>
      <c r="C48" s="26">
        <f>B55</f>
        <v/>
      </c>
      <c r="D48" s="26">
        <f>C55</f>
        <v/>
      </c>
      <c r="E48" s="26">
        <f>D55</f>
        <v/>
      </c>
      <c r="F48" s="26">
        <f>E55</f>
        <v/>
      </c>
      <c r="G48" s="26">
        <f>F55</f>
        <v/>
      </c>
      <c r="H48" s="26">
        <f>G55</f>
        <v/>
      </c>
      <c r="I48" s="26">
        <f>H55</f>
        <v/>
      </c>
      <c r="J48" s="26">
        <f>I55</f>
        <v/>
      </c>
      <c r="K48" s="26">
        <f>J55</f>
        <v/>
      </c>
      <c r="L48" s="26">
        <f>K55</f>
        <v/>
      </c>
      <c r="M48" s="26">
        <f>L55</f>
        <v/>
      </c>
      <c r="N48" s="26">
        <f>M55</f>
        <v/>
      </c>
      <c r="O48" s="26">
        <f>N55</f>
        <v/>
      </c>
      <c r="P48" s="26">
        <f>O55</f>
        <v/>
      </c>
      <c r="Q48" s="26">
        <f>P55</f>
        <v/>
      </c>
      <c r="R48" s="26">
        <f>Q55</f>
        <v/>
      </c>
      <c r="S48" s="26">
        <f>R55</f>
        <v/>
      </c>
      <c r="T48" s="26">
        <f>B48</f>
        <v/>
      </c>
      <c r="U48" s="26">
        <f>B48</f>
        <v/>
      </c>
    </row>
    <row r="49">
      <c r="A49" t="inlineStr">
        <is>
          <t>EBITDA</t>
        </is>
      </c>
      <c r="B49" s="5">
        <f>B39</f>
        <v/>
      </c>
      <c r="C49" s="5">
        <f>C39</f>
        <v/>
      </c>
      <c r="D49" s="5">
        <f>D39</f>
        <v/>
      </c>
      <c r="E49" s="5">
        <f>E39</f>
        <v/>
      </c>
      <c r="F49" s="5">
        <f>F39</f>
        <v/>
      </c>
      <c r="G49" s="5">
        <f>G39</f>
        <v/>
      </c>
      <c r="H49" s="5">
        <f>H39</f>
        <v/>
      </c>
      <c r="I49" s="5">
        <f>I39</f>
        <v/>
      </c>
      <c r="J49" s="5">
        <f>J39</f>
        <v/>
      </c>
      <c r="K49" s="5">
        <f>K39</f>
        <v/>
      </c>
      <c r="L49" s="5">
        <f>L39</f>
        <v/>
      </c>
      <c r="M49" s="5">
        <f>M39</f>
        <v/>
      </c>
      <c r="N49" s="5">
        <f>N39</f>
        <v/>
      </c>
      <c r="O49" s="5">
        <f>O39</f>
        <v/>
      </c>
      <c r="P49" s="5">
        <f>P39</f>
        <v/>
      </c>
      <c r="Q49" s="5">
        <f>Q39</f>
        <v/>
      </c>
      <c r="R49" s="5">
        <f>R39</f>
        <v/>
      </c>
      <c r="S49" s="5">
        <f>S39</f>
        <v/>
      </c>
      <c r="T49" s="5">
        <f>SUM(B49:M49)</f>
        <v/>
      </c>
      <c r="U49" s="5">
        <f>SUM(B49:S49)</f>
        <v/>
      </c>
    </row>
    <row r="50">
      <c r="A50" t="inlineStr">
        <is>
          <t>(Increase)/decrease in inventory</t>
        </is>
      </c>
      <c r="B50" s="5">
        <f>inv_days/365*SUM(Actuals!$B$16:$M$16)-B46</f>
        <v/>
      </c>
      <c r="C50" s="5">
        <f>B46-C46</f>
        <v/>
      </c>
      <c r="D50" s="5">
        <f>C46-D46</f>
        <v/>
      </c>
      <c r="E50" s="5">
        <f>D46-E46</f>
        <v/>
      </c>
      <c r="F50" s="5">
        <f>E46-F46</f>
        <v/>
      </c>
      <c r="G50" s="5">
        <f>F46-G46</f>
        <v/>
      </c>
      <c r="H50" s="5">
        <f>G46-H46</f>
        <v/>
      </c>
      <c r="I50" s="5">
        <f>H46-I46</f>
        <v/>
      </c>
      <c r="J50" s="5">
        <f>I46-J46</f>
        <v/>
      </c>
      <c r="K50" s="5">
        <f>J46-K46</f>
        <v/>
      </c>
      <c r="L50" s="5">
        <f>K46-L46</f>
        <v/>
      </c>
      <c r="M50" s="5">
        <f>L46-M46</f>
        <v/>
      </c>
      <c r="N50" s="5">
        <f>M46-N46</f>
        <v/>
      </c>
      <c r="O50" s="5">
        <f>N46-O46</f>
        <v/>
      </c>
      <c r="P50" s="5">
        <f>O46-P46</f>
        <v/>
      </c>
      <c r="Q50" s="5">
        <f>P46-Q46</f>
        <v/>
      </c>
      <c r="R50" s="5">
        <f>Q46-R46</f>
        <v/>
      </c>
      <c r="S50" s="5">
        <f>R46-S46</f>
        <v/>
      </c>
      <c r="T50" s="5">
        <f>SUM(B50:M50)</f>
        <v/>
      </c>
      <c r="U50" s="5">
        <f>SUM(B50:S50)</f>
        <v/>
      </c>
    </row>
    <row r="51">
      <c r="A51" t="inlineStr">
        <is>
          <t>Increase/(decrease) in payables</t>
        </is>
      </c>
      <c r="B51" s="5">
        <f>B47-pay_days/365*SUM(Actuals!$B$16:$M$16)</f>
        <v/>
      </c>
      <c r="C51" s="5">
        <f>C47-B47</f>
        <v/>
      </c>
      <c r="D51" s="5">
        <f>D47-C47</f>
        <v/>
      </c>
      <c r="E51" s="5">
        <f>E47-D47</f>
        <v/>
      </c>
      <c r="F51" s="5">
        <f>F47-E47</f>
        <v/>
      </c>
      <c r="G51" s="5">
        <f>G47-F47</f>
        <v/>
      </c>
      <c r="H51" s="5">
        <f>H47-G47</f>
        <v/>
      </c>
      <c r="I51" s="5">
        <f>I47-H47</f>
        <v/>
      </c>
      <c r="J51" s="5">
        <f>J47-I47</f>
        <v/>
      </c>
      <c r="K51" s="5">
        <f>K47-J47</f>
        <v/>
      </c>
      <c r="L51" s="5">
        <f>L47-K47</f>
        <v/>
      </c>
      <c r="M51" s="5">
        <f>M47-L47</f>
        <v/>
      </c>
      <c r="N51" s="5">
        <f>N47-M47</f>
        <v/>
      </c>
      <c r="O51" s="5">
        <f>O47-N47</f>
        <v/>
      </c>
      <c r="P51" s="5">
        <f>P47-O47</f>
        <v/>
      </c>
      <c r="Q51" s="5">
        <f>Q47-P47</f>
        <v/>
      </c>
      <c r="R51" s="5">
        <f>R47-Q47</f>
        <v/>
      </c>
      <c r="S51" s="5">
        <f>S47-R47</f>
        <v/>
      </c>
      <c r="T51" s="5">
        <f>SUM(B51:M51)</f>
        <v/>
      </c>
      <c r="U51" s="5">
        <f>SUM(B51:S51)</f>
        <v/>
      </c>
    </row>
    <row r="52">
      <c r="A52" s="22" t="inlineStr">
        <is>
          <t>Operating cash flow</t>
        </is>
      </c>
      <c r="B52" s="23">
        <f>B49+B50+B51</f>
        <v/>
      </c>
      <c r="C52" s="23">
        <f>C49+C50+C51</f>
        <v/>
      </c>
      <c r="D52" s="23">
        <f>D49+D50+D51</f>
        <v/>
      </c>
      <c r="E52" s="23">
        <f>E49+E50+E51</f>
        <v/>
      </c>
      <c r="F52" s="23">
        <f>F49+F50+F51</f>
        <v/>
      </c>
      <c r="G52" s="23">
        <f>G49+G50+G51</f>
        <v/>
      </c>
      <c r="H52" s="23">
        <f>H49+H50+H51</f>
        <v/>
      </c>
      <c r="I52" s="23">
        <f>I49+I50+I51</f>
        <v/>
      </c>
      <c r="J52" s="23">
        <f>J49+J50+J51</f>
        <v/>
      </c>
      <c r="K52" s="23">
        <f>K49+K50+K51</f>
        <v/>
      </c>
      <c r="L52" s="23">
        <f>L49+L50+L51</f>
        <v/>
      </c>
      <c r="M52" s="23">
        <f>M49+M50+M51</f>
        <v/>
      </c>
      <c r="N52" s="23">
        <f>N49+N50+N51</f>
        <v/>
      </c>
      <c r="O52" s="23">
        <f>O49+O50+O51</f>
        <v/>
      </c>
      <c r="P52" s="23">
        <f>P49+P50+P51</f>
        <v/>
      </c>
      <c r="Q52" s="23">
        <f>Q49+Q50+Q51</f>
        <v/>
      </c>
      <c r="R52" s="23">
        <f>R49+R50+R51</f>
        <v/>
      </c>
      <c r="S52" s="23">
        <f>S49+S50+S51</f>
        <v/>
      </c>
      <c r="T52" s="23">
        <f>SUM(B52:M52)</f>
        <v/>
      </c>
      <c r="U52" s="23">
        <f>SUM(B52:S52)</f>
        <v/>
      </c>
    </row>
    <row r="53">
      <c r="A53" t="inlineStr">
        <is>
          <t>Capital expenditure</t>
        </is>
      </c>
      <c r="B53" s="5">
        <f>-capex_m</f>
        <v/>
      </c>
      <c r="C53" s="5">
        <f>-capex_m</f>
        <v/>
      </c>
      <c r="D53" s="5">
        <f>-capex_m</f>
        <v/>
      </c>
      <c r="E53" s="5">
        <f>-capex_m</f>
        <v/>
      </c>
      <c r="F53" s="5">
        <f>-capex_m</f>
        <v/>
      </c>
      <c r="G53" s="5">
        <f>-capex_m</f>
        <v/>
      </c>
      <c r="H53" s="5">
        <f>-capex_m</f>
        <v/>
      </c>
      <c r="I53" s="5">
        <f>-capex_m</f>
        <v/>
      </c>
      <c r="J53" s="5">
        <f>-capex_m</f>
        <v/>
      </c>
      <c r="K53" s="5">
        <f>-capex_m</f>
        <v/>
      </c>
      <c r="L53" s="5">
        <f>-capex_m</f>
        <v/>
      </c>
      <c r="M53" s="5">
        <f>-capex_m</f>
        <v/>
      </c>
      <c r="N53" s="5">
        <f>-capex_m</f>
        <v/>
      </c>
      <c r="O53" s="5">
        <f>-capex_m</f>
        <v/>
      </c>
      <c r="P53" s="5">
        <f>-capex_m</f>
        <v/>
      </c>
      <c r="Q53" s="5">
        <f>-capex_m</f>
        <v/>
      </c>
      <c r="R53" s="5">
        <f>-capex_m</f>
        <v/>
      </c>
      <c r="S53" s="5">
        <f>-capex_m</f>
        <v/>
      </c>
      <c r="T53" s="5">
        <f>SUM(B53:M53)</f>
        <v/>
      </c>
      <c r="U53" s="5">
        <f>SUM(B53:S53)</f>
        <v/>
      </c>
    </row>
    <row r="54">
      <c r="A54" t="inlineStr">
        <is>
          <t>Corporation tax paid</t>
        </is>
      </c>
      <c r="B54" s="5">
        <f>-tax_rate*fy26_profit/4</f>
        <v/>
      </c>
      <c r="C54" s="5" t="n">
        <v>0</v>
      </c>
      <c r="D54" s="5" t="n">
        <v>0</v>
      </c>
      <c r="E54" s="5">
        <f>-tax_rate*fy26_profit/4</f>
        <v/>
      </c>
      <c r="F54" s="5" t="n">
        <v>0</v>
      </c>
      <c r="G54" s="5" t="n">
        <v>0</v>
      </c>
      <c r="H54" s="5">
        <f>IF(SUM($B$41:$M$41)&gt;large_threshold,-tax_rate*SUM($B$41:$M$41)/4,0)</f>
        <v/>
      </c>
      <c r="I54" s="5" t="n">
        <v>0</v>
      </c>
      <c r="J54" s="5" t="n">
        <v>0</v>
      </c>
      <c r="K54" s="5">
        <f>IF(SUM($B$41:$M$41)&gt;large_threshold,-tax_rate*SUM($B$41:$M$41)/4,0)</f>
        <v/>
      </c>
      <c r="L54" s="5" t="n">
        <v>0</v>
      </c>
      <c r="M54" s="5" t="n">
        <v>0</v>
      </c>
      <c r="N54" s="5">
        <f>IF(SUM($B$41:$M$41)&gt;large_threshold,-tax_rate*SUM($B$41:$M$41)/4,0)</f>
        <v/>
      </c>
      <c r="O54" s="5" t="n">
        <v>0</v>
      </c>
      <c r="P54" s="5" t="n">
        <v>0</v>
      </c>
      <c r="Q54" s="5">
        <f>IF(SUM($B$41:$M$41)&gt;large_threshold,-tax_rate*SUM($B$41:$M$41)/4,0)</f>
        <v/>
      </c>
      <c r="R54" s="5" t="n">
        <v>0</v>
      </c>
      <c r="S54" s="5" t="n">
        <v>0</v>
      </c>
      <c r="T54" s="5">
        <f>SUM(B54:M54)</f>
        <v/>
      </c>
      <c r="U54" s="5">
        <f>SUM(B54:S54)</f>
        <v/>
      </c>
    </row>
    <row r="55">
      <c r="A55" s="22" t="inlineStr">
        <is>
          <t>Closing cash</t>
        </is>
      </c>
      <c r="B55" s="23">
        <f>B48+B52+B53+B54</f>
        <v/>
      </c>
      <c r="C55" s="23">
        <f>C48+C52+C53+C54</f>
        <v/>
      </c>
      <c r="D55" s="23">
        <f>D48+D52+D53+D54</f>
        <v/>
      </c>
      <c r="E55" s="23">
        <f>E48+E52+E53+E54</f>
        <v/>
      </c>
      <c r="F55" s="23">
        <f>F48+F52+F53+F54</f>
        <v/>
      </c>
      <c r="G55" s="23">
        <f>G48+G52+G53+G54</f>
        <v/>
      </c>
      <c r="H55" s="23">
        <f>H48+H52+H53+H54</f>
        <v/>
      </c>
      <c r="I55" s="23">
        <f>I48+I52+I53+I54</f>
        <v/>
      </c>
      <c r="J55" s="23">
        <f>J48+J52+J53+J54</f>
        <v/>
      </c>
      <c r="K55" s="23">
        <f>K48+K52+K53+K54</f>
        <v/>
      </c>
      <c r="L55" s="23">
        <f>L48+L52+L53+L54</f>
        <v/>
      </c>
      <c r="M55" s="23">
        <f>M48+M52+M53+M54</f>
        <v/>
      </c>
      <c r="N55" s="23">
        <f>N48+N52+N53+N54</f>
        <v/>
      </c>
      <c r="O55" s="23">
        <f>O48+O52+O53+O54</f>
        <v/>
      </c>
      <c r="P55" s="23">
        <f>P48+P52+P53+P54</f>
        <v/>
      </c>
      <c r="Q55" s="23">
        <f>Q48+Q52+Q53+Q54</f>
        <v/>
      </c>
      <c r="R55" s="23">
        <f>R48+R52+R53+R54</f>
        <v/>
      </c>
      <c r="S55" s="23">
        <f>S48+S52+S53+S54</f>
        <v/>
      </c>
      <c r="T55" s="23">
        <f>M55</f>
        <v/>
      </c>
      <c r="U55" s="23">
        <f>S55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</cols>
  <sheetData>
    <row r="1">
      <c r="A1" s="1" t="inlineStr">
        <is>
          <t>Options: cash impact against doing nothing (£k)</t>
        </is>
      </c>
    </row>
    <row r="2">
      <c r="A2" s="2" t="inlineStr">
        <is>
          <t>DirectSportsGoods is a fictional company. All figures are made up.</t>
        </is>
      </c>
    </row>
    <row r="3">
      <c r="A3" s="16">
        <f>"Scenario: "&amp;Inputs!$C$3</f>
        <v/>
      </c>
    </row>
    <row r="5">
      <c r="A5" s="3" t="inlineStr"/>
      <c r="B5" s="17" t="n">
        <v>46054</v>
      </c>
      <c r="C5" s="17" t="n">
        <v>46082</v>
      </c>
      <c r="D5" s="17" t="n">
        <v>46113</v>
      </c>
      <c r="E5" s="17" t="n">
        <v>46143</v>
      </c>
      <c r="F5" s="17" t="n">
        <v>46174</v>
      </c>
      <c r="G5" s="17" t="n">
        <v>46204</v>
      </c>
      <c r="H5" s="17" t="n">
        <v>46235</v>
      </c>
      <c r="I5" s="17" t="n">
        <v>46266</v>
      </c>
      <c r="J5" s="17" t="n">
        <v>46296</v>
      </c>
      <c r="K5" s="17" t="n">
        <v>46327</v>
      </c>
      <c r="L5" s="17" t="n">
        <v>46357</v>
      </c>
      <c r="M5" s="17" t="n">
        <v>46388</v>
      </c>
      <c r="N5" s="17" t="n">
        <v>46419</v>
      </c>
      <c r="O5" s="17" t="n">
        <v>46447</v>
      </c>
      <c r="P5" s="17" t="n">
        <v>46478</v>
      </c>
      <c r="Q5" s="17" t="n">
        <v>46508</v>
      </c>
      <c r="R5" s="17" t="n">
        <v>46539</v>
      </c>
      <c r="S5" s="17" t="n">
        <v>46569</v>
      </c>
      <c r="T5" s="4" t="inlineStr">
        <is>
          <t>FY27</t>
        </is>
      </c>
      <c r="U5" s="4" t="inlineStr">
        <is>
          <t>18 months</t>
        </is>
      </c>
    </row>
    <row r="6">
      <c r="A6" t="inlineStr">
        <is>
          <t>Website contribution per order (£)</t>
        </is>
      </c>
      <c r="B6" s="20">
        <f>(Forecast!B12+Forecast!B14+Forecast!B15)/Forecast!B7</f>
        <v/>
      </c>
      <c r="C6" s="20">
        <f>(Forecast!C12+Forecast!C14+Forecast!C15)/Forecast!C7</f>
        <v/>
      </c>
      <c r="D6" s="20">
        <f>(Forecast!D12+Forecast!D14+Forecast!D15)/Forecast!D7</f>
        <v/>
      </c>
      <c r="E6" s="20">
        <f>(Forecast!E12+Forecast!E14+Forecast!E15)/Forecast!E7</f>
        <v/>
      </c>
      <c r="F6" s="20">
        <f>(Forecast!F12+Forecast!F14+Forecast!F15)/Forecast!F7</f>
        <v/>
      </c>
      <c r="G6" s="20">
        <f>(Forecast!G12+Forecast!G14+Forecast!G15)/Forecast!G7</f>
        <v/>
      </c>
      <c r="H6" s="20">
        <f>(Forecast!H12+Forecast!H14+Forecast!H15)/Forecast!H7</f>
        <v/>
      </c>
      <c r="I6" s="20">
        <f>(Forecast!I12+Forecast!I14+Forecast!I15)/Forecast!I7</f>
        <v/>
      </c>
      <c r="J6" s="20">
        <f>(Forecast!J12+Forecast!J14+Forecast!J15)/Forecast!J7</f>
        <v/>
      </c>
      <c r="K6" s="20">
        <f>(Forecast!K12+Forecast!K14+Forecast!K15)/Forecast!K7</f>
        <v/>
      </c>
      <c r="L6" s="20">
        <f>(Forecast!L12+Forecast!L14+Forecast!L15)/Forecast!L7</f>
        <v/>
      </c>
      <c r="M6" s="20">
        <f>(Forecast!M12+Forecast!M14+Forecast!M15)/Forecast!M7</f>
        <v/>
      </c>
      <c r="N6" s="20">
        <f>(Forecast!N12+Forecast!N14+Forecast!N15)/Forecast!N7</f>
        <v/>
      </c>
      <c r="O6" s="20">
        <f>(Forecast!O12+Forecast!O14+Forecast!O15)/Forecast!O7</f>
        <v/>
      </c>
      <c r="P6" s="20">
        <f>(Forecast!P12+Forecast!P14+Forecast!P15)/Forecast!P7</f>
        <v/>
      </c>
      <c r="Q6" s="20">
        <f>(Forecast!Q12+Forecast!Q14+Forecast!Q15)/Forecast!Q7</f>
        <v/>
      </c>
      <c r="R6" s="20">
        <f>(Forecast!R12+Forecast!R14+Forecast!R15)/Forecast!R7</f>
        <v/>
      </c>
      <c r="S6" s="20">
        <f>(Forecast!S12+Forecast!S14+Forecast!S15)/Forecast!S7</f>
        <v/>
      </c>
    </row>
    <row r="7">
      <c r="A7" t="inlineStr">
        <is>
          <t>Marketplace contribution per order (£)</t>
        </is>
      </c>
      <c r="B7" s="20">
        <f>(Forecast!B25+Forecast!B27+Forecast!B28+Forecast!B29)/Forecast!B20</f>
        <v/>
      </c>
      <c r="C7" s="20">
        <f>(Forecast!C25+Forecast!C27+Forecast!C28+Forecast!C29)/Forecast!C20</f>
        <v/>
      </c>
      <c r="D7" s="20">
        <f>(Forecast!D25+Forecast!D27+Forecast!D28+Forecast!D29)/Forecast!D20</f>
        <v/>
      </c>
      <c r="E7" s="20">
        <f>(Forecast!E25+Forecast!E27+Forecast!E28+Forecast!E29)/Forecast!E20</f>
        <v/>
      </c>
      <c r="F7" s="20">
        <f>(Forecast!F25+Forecast!F27+Forecast!F28+Forecast!F29)/Forecast!F20</f>
        <v/>
      </c>
      <c r="G7" s="20">
        <f>(Forecast!G25+Forecast!G27+Forecast!G28+Forecast!G29)/Forecast!G20</f>
        <v/>
      </c>
      <c r="H7" s="20">
        <f>(Forecast!H25+Forecast!H27+Forecast!H28+Forecast!H29)/Forecast!H20</f>
        <v/>
      </c>
      <c r="I7" s="20">
        <f>(Forecast!I25+Forecast!I27+Forecast!I28+Forecast!I29)/Forecast!I20</f>
        <v/>
      </c>
      <c r="J7" s="20">
        <f>(Forecast!J25+Forecast!J27+Forecast!J28+Forecast!J29)/Forecast!J20</f>
        <v/>
      </c>
      <c r="K7" s="20">
        <f>(Forecast!K25+Forecast!K27+Forecast!K28+Forecast!K29)/Forecast!K20</f>
        <v/>
      </c>
      <c r="L7" s="20">
        <f>(Forecast!L25+Forecast!L27+Forecast!L28+Forecast!L29)/Forecast!L20</f>
        <v/>
      </c>
      <c r="M7" s="20">
        <f>(Forecast!M25+Forecast!M27+Forecast!M28+Forecast!M29)/Forecast!M20</f>
        <v/>
      </c>
      <c r="N7" s="20">
        <f>(Forecast!N25+Forecast!N27+Forecast!N28+Forecast!N29)/Forecast!N20</f>
        <v/>
      </c>
      <c r="O7" s="20">
        <f>(Forecast!O25+Forecast!O27+Forecast!O28+Forecast!O29)/Forecast!O20</f>
        <v/>
      </c>
      <c r="P7" s="20">
        <f>(Forecast!P25+Forecast!P27+Forecast!P28+Forecast!P29)/Forecast!P20</f>
        <v/>
      </c>
      <c r="Q7" s="20">
        <f>(Forecast!Q25+Forecast!Q27+Forecast!Q28+Forecast!Q29)/Forecast!Q20</f>
        <v/>
      </c>
      <c r="R7" s="20">
        <f>(Forecast!R25+Forecast!R27+Forecast!R28+Forecast!R29)/Forecast!R20</f>
        <v/>
      </c>
      <c r="S7" s="20">
        <f>(Forecast!S25+Forecast!S27+Forecast!S28+Forecast!S29)/Forecast!S20</f>
        <v/>
      </c>
    </row>
    <row r="8">
      <c r="A8" s="16" t="inlineStr">
        <is>
          <t>A. Switch carrier</t>
        </is>
      </c>
      <c r="B8" s="26" t="n">
        <v>0</v>
      </c>
      <c r="C8" s="26">
        <f>-switch_cost</f>
        <v/>
      </c>
      <c r="D8" s="26" t="n">
        <v>0</v>
      </c>
      <c r="E8" s="26">
        <f>(delivery_rate*(1+carrier)-quote)*Forecast!E33</f>
        <v/>
      </c>
      <c r="F8" s="26">
        <f>(delivery_rate*(1+carrier)-quote)*Forecast!F33</f>
        <v/>
      </c>
      <c r="G8" s="26">
        <f>(delivery_rate*(1+carrier)-quote)*Forecast!G33</f>
        <v/>
      </c>
      <c r="H8" s="26">
        <f>(delivery_rate*(1+carrier)-quote)*Forecast!H33</f>
        <v/>
      </c>
      <c r="I8" s="26">
        <f>(delivery_rate*(1+carrier)-quote)*Forecast!I33</f>
        <v/>
      </c>
      <c r="J8" s="26">
        <f>(delivery_rate*(1+carrier)-quote)*Forecast!J33</f>
        <v/>
      </c>
      <c r="K8" s="26">
        <f>(delivery_rate*(1+carrier)-quote)*Forecast!K33</f>
        <v/>
      </c>
      <c r="L8" s="26">
        <f>(delivery_rate*(1+carrier)-quote)*Forecast!L33</f>
        <v/>
      </c>
      <c r="M8" s="26">
        <f>(delivery_rate*(1+carrier)-quote)*Forecast!M33</f>
        <v/>
      </c>
      <c r="N8" s="26">
        <f>(delivery_rate*(1+carrier)-quote)*Forecast!N33</f>
        <v/>
      </c>
      <c r="O8" s="26">
        <f>(delivery_rate*(1+carrier)-quote)*Forecast!O33</f>
        <v/>
      </c>
      <c r="P8" s="26">
        <f>(delivery_rate*(1+carrier)-quote)*Forecast!P33</f>
        <v/>
      </c>
      <c r="Q8" s="26">
        <f>(delivery_rate*(1+carrier)-quote)*Forecast!Q33</f>
        <v/>
      </c>
      <c r="R8" s="26">
        <f>(delivery_rate*(1+carrier)-quote)*Forecast!R33</f>
        <v/>
      </c>
      <c r="S8" s="26">
        <f>(delivery_rate*(1+carrier)-quote)*Forecast!S33</f>
        <v/>
      </c>
      <c r="T8" s="26">
        <f>SUM(B8:M8)</f>
        <v/>
      </c>
      <c r="U8" s="26">
        <f>SUM(B8:S8)</f>
        <v/>
      </c>
    </row>
    <row r="9">
      <c r="A9" s="16" t="inlineStr">
        <is>
          <t>B. Delivery charge on small website orders</t>
        </is>
      </c>
      <c r="B9" s="26" t="n">
        <v>0</v>
      </c>
      <c r="C9" s="26" t="n">
        <v>0</v>
      </c>
      <c r="D9" s="26">
        <f>Forecast!D7*affected*((1-loss)*charge_exvat-loss*D6)</f>
        <v/>
      </c>
      <c r="E9" s="26">
        <f>Forecast!E7*affected*((1-loss)*charge_exvat-loss*E6)</f>
        <v/>
      </c>
      <c r="F9" s="26">
        <f>Forecast!F7*affected*((1-loss)*charge_exvat-loss*F6)</f>
        <v/>
      </c>
      <c r="G9" s="26">
        <f>Forecast!G7*affected*((1-loss)*charge_exvat-loss*G6)</f>
        <v/>
      </c>
      <c r="H9" s="26">
        <f>Forecast!H7*affected*((1-loss)*charge_exvat-loss*H6)</f>
        <v/>
      </c>
      <c r="I9" s="26">
        <f>Forecast!I7*affected*((1-loss)*charge_exvat-loss*I6)</f>
        <v/>
      </c>
      <c r="J9" s="26">
        <f>Forecast!J7*affected*((1-loss)*charge_exvat-loss*J6)</f>
        <v/>
      </c>
      <c r="K9" s="26">
        <f>Forecast!K7*affected*((1-loss)*charge_exvat-loss*K6)</f>
        <v/>
      </c>
      <c r="L9" s="26">
        <f>Forecast!L7*affected*((1-loss)*charge_exvat-loss*L6)</f>
        <v/>
      </c>
      <c r="M9" s="26">
        <f>Forecast!M7*affected*((1-loss)*charge_exvat-loss*M6)</f>
        <v/>
      </c>
      <c r="N9" s="26">
        <f>Forecast!N7*affected*((1-loss)*charge_exvat-loss*N6)</f>
        <v/>
      </c>
      <c r="O9" s="26">
        <f>Forecast!O7*affected*((1-loss)*charge_exvat-loss*O6)</f>
        <v/>
      </c>
      <c r="P9" s="26">
        <f>Forecast!P7*affected*((1-loss)*charge_exvat-loss*P6)</f>
        <v/>
      </c>
      <c r="Q9" s="26">
        <f>Forecast!Q7*affected*((1-loss)*charge_exvat-loss*Q6)</f>
        <v/>
      </c>
      <c r="R9" s="26">
        <f>Forecast!R7*affected*((1-loss)*charge_exvat-loss*R6)</f>
        <v/>
      </c>
      <c r="S9" s="26">
        <f>Forecast!S7*affected*((1-loss)*charge_exvat-loss*S6)</f>
        <v/>
      </c>
      <c r="T9" s="26">
        <f>SUM(B9:M9)</f>
        <v/>
      </c>
      <c r="U9" s="26">
        <f>SUM(B9:S9)</f>
        <v/>
      </c>
    </row>
    <row r="10">
      <c r="A10" s="16" t="inlineStr">
        <is>
          <t>C. 2% price rise</t>
        </is>
      </c>
      <c r="B10" s="26" t="n">
        <v>0</v>
      </c>
      <c r="C10" s="26" t="n">
        <v>0</v>
      </c>
      <c r="D10" s="26">
        <f>Forecast!D7*((1-volume_loss)*(D6+price_rise*Forecast!D12/Forecast!D7)-D6)+Forecast!D20*((1-volume_loss)*(D7+price_rise*Forecast!D25/Forecast!D20*(1-fee_rate))-D7)</f>
        <v/>
      </c>
      <c r="E10" s="26">
        <f>Forecast!E7*((1-volume_loss)*(E6+price_rise*Forecast!E12/Forecast!E7)-E6)+Forecast!E20*((1-volume_loss)*(E7+price_rise*Forecast!E25/Forecast!E20*(1-fee_rate))-E7)</f>
        <v/>
      </c>
      <c r="F10" s="26">
        <f>Forecast!F7*((1-volume_loss)*(F6+price_rise*Forecast!F12/Forecast!F7)-F6)+Forecast!F20*((1-volume_loss)*(F7+price_rise*Forecast!F25/Forecast!F20*(1-fee_rate))-F7)</f>
        <v/>
      </c>
      <c r="G10" s="26">
        <f>Forecast!G7*((1-volume_loss)*(G6+price_rise*Forecast!G12/Forecast!G7)-G6)+Forecast!G20*((1-volume_loss)*(G7+price_rise*Forecast!G25/Forecast!G20*(1-fee_rate))-G7)</f>
        <v/>
      </c>
      <c r="H10" s="26">
        <f>Forecast!H7*((1-volume_loss)*(H6+price_rise*Forecast!H12/Forecast!H7)-H6)+Forecast!H20*((1-volume_loss)*(H7+price_rise*Forecast!H25/Forecast!H20*(1-fee_rate))-H7)</f>
        <v/>
      </c>
      <c r="I10" s="26">
        <f>Forecast!I7*((1-volume_loss)*(I6+price_rise*Forecast!I12/Forecast!I7)-I6)+Forecast!I20*((1-volume_loss)*(I7+price_rise*Forecast!I25/Forecast!I20*(1-fee_rate))-I7)</f>
        <v/>
      </c>
      <c r="J10" s="26">
        <f>Forecast!J7*((1-volume_loss)*(J6+price_rise*Forecast!J12/Forecast!J7)-J6)+Forecast!J20*((1-volume_loss)*(J7+price_rise*Forecast!J25/Forecast!J20*(1-fee_rate))-J7)</f>
        <v/>
      </c>
      <c r="K10" s="26">
        <f>Forecast!K7*((1-volume_loss)*(K6+price_rise*Forecast!K12/Forecast!K7)-K6)+Forecast!K20*((1-volume_loss)*(K7+price_rise*Forecast!K25/Forecast!K20*(1-fee_rate))-K7)</f>
        <v/>
      </c>
      <c r="L10" s="26">
        <f>Forecast!L7*((1-volume_loss)*(L6+price_rise*Forecast!L12/Forecast!L7)-L6)+Forecast!L20*((1-volume_loss)*(L7+price_rise*Forecast!L25/Forecast!L20*(1-fee_rate))-L7)</f>
        <v/>
      </c>
      <c r="M10" s="26">
        <f>Forecast!M7*((1-volume_loss)*(M6+price_rise*Forecast!M12/Forecast!M7)-M6)+Forecast!M20*((1-volume_loss)*(M7+price_rise*Forecast!M25/Forecast!M20*(1-fee_rate))-M7)</f>
        <v/>
      </c>
      <c r="N10" s="26">
        <f>Forecast!N7*((1-volume_loss)*(N6+price_rise*Forecast!N12/Forecast!N7)-N6)+Forecast!N20*((1-volume_loss)*(N7+price_rise*Forecast!N25/Forecast!N20*(1-fee_rate))-N7)</f>
        <v/>
      </c>
      <c r="O10" s="26">
        <f>Forecast!O7*((1-volume_loss)*(O6+price_rise*Forecast!O12/Forecast!O7)-O6)+Forecast!O20*((1-volume_loss)*(O7+price_rise*Forecast!O25/Forecast!O20*(1-fee_rate))-O7)</f>
        <v/>
      </c>
      <c r="P10" s="26">
        <f>Forecast!P7*((1-volume_loss)*(P6+price_rise*Forecast!P12/Forecast!P7)-P6)+Forecast!P20*((1-volume_loss)*(P7+price_rise*Forecast!P25/Forecast!P20*(1-fee_rate))-P7)</f>
        <v/>
      </c>
      <c r="Q10" s="26">
        <f>Forecast!Q7*((1-volume_loss)*(Q6+price_rise*Forecast!Q12/Forecast!Q7)-Q6)+Forecast!Q20*((1-volume_loss)*(Q7+price_rise*Forecast!Q25/Forecast!Q20*(1-fee_rate))-Q7)</f>
        <v/>
      </c>
      <c r="R10" s="26">
        <f>Forecast!R7*((1-volume_loss)*(R6+price_rise*Forecast!R12/Forecast!R7)-R6)+Forecast!R20*((1-volume_loss)*(R7+price_rise*Forecast!R25/Forecast!R20*(1-fee_rate))-R7)</f>
        <v/>
      </c>
      <c r="S10" s="26">
        <f>Forecast!S7*((1-volume_loss)*(S6+price_rise*Forecast!S12/Forecast!S7)-S6)+Forecast!S20*((1-volume_loss)*(S7+price_rise*Forecast!S25/Forecast!S20*(1-fee_rate))-S7)</f>
        <v/>
      </c>
      <c r="T10" s="26">
        <f>SUM(B10:M10)</f>
        <v/>
      </c>
      <c r="U10" s="26">
        <f>SUM(B10:S10)</f>
        <v/>
      </c>
    </row>
    <row r="12">
      <c r="A12" t="inlineStr">
        <is>
          <t>Break-even, option B: share of affected orders we can lose</t>
        </is>
      </c>
      <c r="B12" s="27">
        <f>charge_exvat/(charge_exvat+SUMPRODUCT(B6:M6,Forecast!B7:M7)/Forecast!T7)</f>
        <v/>
      </c>
    </row>
    <row r="13">
      <c r="A13" t="inlineStr">
        <is>
          <t>Break-even, option C: share of orders we can lose</t>
        </is>
      </c>
      <c r="B13" s="27">
        <f>price_rise*(Forecast!T12+Forecast!T25*(1-fee_rate))/((Forecast!T12+Forecast!T14+Forecast!T15+Forecast!T25+Forecast!T27+Forecast!T28+Forecast!T29)+price_rise*(Forecast!T12+Forecast!T25*(1-fee_rate)))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2026-10-04T21:53:13Z</dcterms:created>
  <dcterms:modified xmlns:dcterms="http://purl.org/dc/terms/" xmlns:xsi="http://www.w3.org/2001/XMLSchema-instance" xsi:type="dcterms:W3CDTF">2026-10-04T21:53:13Z</dcterms:modified>
</cp:coreProperties>
</file>